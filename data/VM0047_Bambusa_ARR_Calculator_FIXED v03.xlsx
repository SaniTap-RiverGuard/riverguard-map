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drawings/drawing1.xml" ContentType="application/vnd.openxmlformats-officedocument.drawing+xml"/>
  <Override PartName="/xl/comments2.xml" ContentType="application/vnd.openxmlformats-officedocument.spreadsheetml.comments+xml"/>
  <Override PartName="/xl/comments3.xml" ContentType="application/vnd.openxmlformats-officedocument.spreadsheetml.comments+xml"/>
  <Override PartName="/xl/threadedComments/threadedComment2.xml" ContentType="application/vnd.ms-excel.threadedcomments+xml"/>
  <Override PartName="/xl/comments4.xml" ContentType="application/vnd.openxmlformats-officedocument.spreadsheetml.comments+xml"/>
  <Override PartName="/xl/threadedComments/threadedComment3.xml" ContentType="application/vnd.ms-excel.threadedcomments+xml"/>
  <Override PartName="/xl/persons/person.xml" ContentType="application/vnd.ms-excel.person+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https://sanitap-my.sharepoint.com/personal/adriaan_mol_sanitap_org/Documents/New Projects/Riparian Bamboo/"/>
    </mc:Choice>
  </mc:AlternateContent>
  <xr:revisionPtr revIDLastSave="678" documentId="8_{6E48507D-700D-4488-86D7-5F96B5A19854}" xr6:coauthVersionLast="47" xr6:coauthVersionMax="47" xr10:uidLastSave="{F705BF94-0E83-4C22-B3BA-7756C5BFB4F1}"/>
  <bookViews>
    <workbookView xWindow="28690" yWindow="-110" windowWidth="38620" windowHeight="21100" xr2:uid="{4FF76524-E53D-4EA4-9630-6A4C4F484267}"/>
  </bookViews>
  <sheets>
    <sheet name="Summary" sheetId="1" r:id="rId1"/>
    <sheet name="Total_Summary" sheetId="15" r:id="rId2"/>
    <sheet name="Assumptions" sheetId="21" r:id="rId3"/>
    <sheet name="Seedling Density" sheetId="33" r:id="rId4"/>
    <sheet name="Biomass" sheetId="17" r:id="rId5"/>
    <sheet name="CAPEX" sheetId="29" r:id="rId6"/>
    <sheet name="HR" sheetId="31" r:id="rId7"/>
    <sheet name="OPEX" sheetId="28" r:id="rId8"/>
    <sheet name="Carbon Costs" sheetId="27" r:id="rId9"/>
    <sheet name="Revenue" sheetId="20" r:id="rId10"/>
    <sheet name="Impact" sheetId="26" r:id="rId11"/>
    <sheet name="Eq4_CWP_woody" sheetId="2" r:id="rId12"/>
    <sheet name="Eq6_CWP_herb" sheetId="3" r:id="rId13"/>
    <sheet name="Eq8_CWP_DW" sheetId="4" r:id="rId14"/>
    <sheet name="Eq10_CWP_LI" sheetId="5" r:id="rId15"/>
    <sheet name="Eq11_Delta_SOC" sheetId="6" r:id="rId16"/>
    <sheet name="Eq3_Delta_woody" sheetId="7" r:id="rId17"/>
    <sheet name="Eq5_Delta_herb" sheetId="8" r:id="rId18"/>
    <sheet name="Eq7_Delta_DW" sheetId="9" r:id="rId19"/>
    <sheet name="Eq9_Delta_LI" sheetId="10" r:id="rId20"/>
    <sheet name="Eq2_Delta_biomass" sheetId="11" r:id="rId21"/>
    <sheet name="VMD0054 Leakage" sheetId="30" r:id="rId22"/>
    <sheet name="Eq1_Project_total" sheetId="12" r:id="rId23"/>
    <sheet name="Eq30_Carbon_removals" sheetId="13" r:id="rId24"/>
    <sheet name="Eq34_Annualized" sheetId="14" r:id="rId25"/>
    <sheet name="Eq_A6_PerfBench" sheetId="25" r:id="rId26"/>
    <sheet name="Sheet1" sheetId="32" r:id="rId27"/>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X7" i="6" l="1"/>
  <c r="W7" i="6"/>
  <c r="V7" i="6"/>
  <c r="U7" i="6"/>
  <c r="T7" i="6"/>
  <c r="S7" i="6"/>
  <c r="R7" i="6"/>
  <c r="Q7" i="6"/>
  <c r="P7" i="6"/>
  <c r="O7" i="6"/>
  <c r="N7" i="6"/>
  <c r="M7" i="6"/>
  <c r="L7" i="6"/>
  <c r="K7" i="6"/>
  <c r="J7" i="6"/>
  <c r="I7" i="6"/>
  <c r="H7" i="6"/>
  <c r="G7" i="6"/>
  <c r="F7" i="6"/>
  <c r="E7" i="6"/>
  <c r="E9" i="21"/>
  <c r="B8" i="21"/>
  <c r="E6" i="29"/>
  <c r="B19" i="21"/>
  <c r="Z9" i="17"/>
  <c r="Z10" i="17" s="1"/>
  <c r="Z11" i="17" s="1"/>
  <c r="Z12" i="17" s="1"/>
  <c r="Z13" i="17" s="1"/>
  <c r="Z14" i="17" s="1"/>
  <c r="Z15" i="17" s="1"/>
  <c r="Z16" i="17" s="1"/>
  <c r="Z17" i="17" s="1"/>
  <c r="Z8" i="17"/>
  <c r="Z7" i="17"/>
  <c r="Y8" i="17"/>
  <c r="Y9" i="17"/>
  <c r="Y10" i="17"/>
  <c r="Y11" i="17" s="1"/>
  <c r="Y12" i="17" s="1"/>
  <c r="Y13" i="17" s="1"/>
  <c r="Y14" i="17" s="1"/>
  <c r="Y15" i="17" s="1"/>
  <c r="Y16" i="17" s="1"/>
  <c r="Y17" i="17" s="1"/>
  <c r="Y7" i="17"/>
  <c r="R4" i="17"/>
  <c r="F10" i="33"/>
  <c r="E8" i="33"/>
  <c r="E7" i="33"/>
  <c r="E6" i="33"/>
  <c r="E5" i="33"/>
  <c r="E4" i="33"/>
  <c r="E11" i="33"/>
  <c r="E12" i="33"/>
  <c r="E13" i="33"/>
  <c r="E14" i="33"/>
  <c r="E10" i="33"/>
  <c r="A29" i="33"/>
  <c r="C29" i="33" s="1"/>
  <c r="D29" i="33" s="1"/>
  <c r="F29" i="33" s="1"/>
  <c r="G29" i="33" s="1"/>
  <c r="H28" i="33"/>
  <c r="C28" i="33"/>
  <c r="D28" i="33" s="1"/>
  <c r="F28" i="33" s="1"/>
  <c r="G28" i="33" s="1"/>
  <c r="A23" i="33"/>
  <c r="H23" i="33" s="1"/>
  <c r="H22" i="33"/>
  <c r="C22" i="33"/>
  <c r="D22" i="33" s="1"/>
  <c r="F22" i="33" s="1"/>
  <c r="G22" i="33" s="1"/>
  <c r="A17" i="33"/>
  <c r="C17" i="33" s="1"/>
  <c r="D17" i="33" s="1"/>
  <c r="F17" i="33" s="1"/>
  <c r="G17" i="33" s="1"/>
  <c r="H16" i="33"/>
  <c r="C16" i="33"/>
  <c r="D16" i="33" s="1"/>
  <c r="F16" i="33" s="1"/>
  <c r="G16" i="33" s="1"/>
  <c r="A11" i="33"/>
  <c r="A12" i="33" s="1"/>
  <c r="H10" i="33"/>
  <c r="C10" i="33"/>
  <c r="D10" i="33" s="1"/>
  <c r="G10" i="33" s="1"/>
  <c r="H8" i="33"/>
  <c r="D8" i="33"/>
  <c r="F8" i="33" s="1"/>
  <c r="G8" i="33" s="1"/>
  <c r="C8" i="33"/>
  <c r="H7" i="33"/>
  <c r="C7" i="33"/>
  <c r="D7" i="33" s="1"/>
  <c r="F7" i="33" s="1"/>
  <c r="G7" i="33" s="1"/>
  <c r="H6" i="33"/>
  <c r="C6" i="33"/>
  <c r="D6" i="33" s="1"/>
  <c r="F6" i="33" s="1"/>
  <c r="G6" i="33" s="1"/>
  <c r="H5" i="33"/>
  <c r="C5" i="33"/>
  <c r="D5" i="33" s="1"/>
  <c r="F5" i="33" s="1"/>
  <c r="G5" i="33" s="1"/>
  <c r="H4" i="33"/>
  <c r="C4" i="33"/>
  <c r="D4" i="33" s="1"/>
  <c r="F4" i="33" s="1"/>
  <c r="G4" i="33" s="1"/>
  <c r="M18" i="13"/>
  <c r="N18" i="13"/>
  <c r="O18" i="13"/>
  <c r="P18" i="13"/>
  <c r="Q18" i="13"/>
  <c r="R18" i="13"/>
  <c r="S18" i="13"/>
  <c r="T18" i="13"/>
  <c r="U18" i="13"/>
  <c r="V18" i="13"/>
  <c r="W18" i="13"/>
  <c r="X18" i="13"/>
  <c r="J18" i="13"/>
  <c r="K18" i="13"/>
  <c r="L18" i="13"/>
  <c r="E18" i="13"/>
  <c r="F18" i="13"/>
  <c r="G18" i="13"/>
  <c r="H18" i="13"/>
  <c r="I18" i="13"/>
  <c r="D23" i="17"/>
  <c r="E23" i="17" s="1"/>
  <c r="D20" i="17"/>
  <c r="D6" i="17"/>
  <c r="F6" i="17" s="1"/>
  <c r="G6" i="17" s="1"/>
  <c r="B18" i="21"/>
  <c r="B6" i="21"/>
  <c r="E5" i="26"/>
  <c r="F5" i="26" s="1"/>
  <c r="G5" i="26" s="1"/>
  <c r="H5" i="26" s="1"/>
  <c r="I5" i="26" s="1"/>
  <c r="J5" i="26" s="1"/>
  <c r="K5" i="26" s="1"/>
  <c r="L5" i="26" s="1"/>
  <c r="M5" i="26" s="1"/>
  <c r="N5" i="26" s="1"/>
  <c r="O5" i="26" s="1"/>
  <c r="P5" i="26" s="1"/>
  <c r="Q5" i="26" s="1"/>
  <c r="R5" i="26" s="1"/>
  <c r="S5" i="26" s="1"/>
  <c r="T5" i="26" s="1"/>
  <c r="U5" i="26" s="1"/>
  <c r="V5" i="26" s="1"/>
  <c r="W5" i="26" s="1"/>
  <c r="X5" i="26" s="1"/>
  <c r="D7" i="17"/>
  <c r="D8" i="17"/>
  <c r="D9" i="17"/>
  <c r="D10" i="17"/>
  <c r="D11" i="17"/>
  <c r="D12" i="17"/>
  <c r="D13" i="17"/>
  <c r="D14" i="17"/>
  <c r="D15" i="17"/>
  <c r="D16" i="17"/>
  <c r="D17" i="17"/>
  <c r="D18" i="17"/>
  <c r="D19" i="17"/>
  <c r="D21" i="17"/>
  <c r="D22" i="17"/>
  <c r="D24" i="17"/>
  <c r="D25" i="17"/>
  <c r="F6" i="28"/>
  <c r="G6" i="28"/>
  <c r="H6" i="28"/>
  <c r="I6" i="28"/>
  <c r="J6" i="28"/>
  <c r="K6" i="28"/>
  <c r="L6" i="28"/>
  <c r="M6" i="28"/>
  <c r="N6" i="28"/>
  <c r="O6" i="28"/>
  <c r="P6" i="28"/>
  <c r="Q6" i="28"/>
  <c r="R6" i="28"/>
  <c r="S6" i="28"/>
  <c r="T6" i="28"/>
  <c r="U6" i="28"/>
  <c r="V6" i="28"/>
  <c r="W6" i="28"/>
  <c r="X6" i="28"/>
  <c r="Y6" i="28"/>
  <c r="Z6" i="28"/>
  <c r="E6" i="28"/>
  <c r="C29" i="31"/>
  <c r="C30" i="31"/>
  <c r="C31" i="31"/>
  <c r="C32" i="31"/>
  <c r="C33" i="31"/>
  <c r="C34" i="31"/>
  <c r="C35" i="31"/>
  <c r="C36" i="31"/>
  <c r="C37" i="31"/>
  <c r="C38" i="31"/>
  <c r="C39" i="31"/>
  <c r="C40" i="31"/>
  <c r="C41" i="31"/>
  <c r="C42" i="31"/>
  <c r="C43" i="31"/>
  <c r="C44" i="31"/>
  <c r="C45" i="31"/>
  <c r="C46" i="31"/>
  <c r="C28" i="31"/>
  <c r="D28" i="31"/>
  <c r="E29" i="31"/>
  <c r="F29" i="31"/>
  <c r="G29" i="31"/>
  <c r="H29" i="31"/>
  <c r="I29" i="31"/>
  <c r="J29" i="31"/>
  <c r="K29" i="31"/>
  <c r="L29" i="31"/>
  <c r="M29" i="31"/>
  <c r="N29" i="31"/>
  <c r="O29" i="31"/>
  <c r="P29" i="31"/>
  <c r="Q29" i="31"/>
  <c r="R29" i="31"/>
  <c r="S29" i="31"/>
  <c r="T29" i="31"/>
  <c r="U29" i="31"/>
  <c r="V29" i="31"/>
  <c r="W29" i="31"/>
  <c r="X29" i="31"/>
  <c r="X47" i="31" s="1"/>
  <c r="E30" i="31"/>
  <c r="F30" i="31"/>
  <c r="G30" i="31"/>
  <c r="H30" i="31"/>
  <c r="I30" i="31"/>
  <c r="J30" i="31"/>
  <c r="K30" i="31"/>
  <c r="L30" i="31"/>
  <c r="M30" i="31"/>
  <c r="N30" i="31"/>
  <c r="O30" i="31"/>
  <c r="P30" i="31"/>
  <c r="Q30" i="31"/>
  <c r="R30" i="31"/>
  <c r="S30" i="31"/>
  <c r="T30" i="31"/>
  <c r="U30" i="31"/>
  <c r="V30" i="31"/>
  <c r="W30" i="31"/>
  <c r="X30" i="31"/>
  <c r="E31" i="31"/>
  <c r="F31" i="31"/>
  <c r="G31" i="31"/>
  <c r="H31" i="31"/>
  <c r="I31" i="31"/>
  <c r="J31" i="31"/>
  <c r="K31" i="31"/>
  <c r="L31" i="31"/>
  <c r="M31" i="31"/>
  <c r="N31" i="31"/>
  <c r="O31" i="31"/>
  <c r="P31" i="31"/>
  <c r="Q31" i="31"/>
  <c r="R31" i="31"/>
  <c r="S31" i="31"/>
  <c r="T31" i="31"/>
  <c r="U31" i="31"/>
  <c r="V31" i="31"/>
  <c r="W31" i="31"/>
  <c r="X31" i="31"/>
  <c r="E32" i="31"/>
  <c r="F32" i="31"/>
  <c r="G32" i="31"/>
  <c r="H32" i="31"/>
  <c r="I32" i="31"/>
  <c r="J32" i="31"/>
  <c r="K32" i="31"/>
  <c r="L32" i="31"/>
  <c r="M32" i="31"/>
  <c r="N32" i="31"/>
  <c r="O32" i="31"/>
  <c r="P32" i="31"/>
  <c r="Q32" i="31"/>
  <c r="R32" i="31"/>
  <c r="S32" i="31"/>
  <c r="T32" i="31"/>
  <c r="U32" i="31"/>
  <c r="V32" i="31"/>
  <c r="W32" i="31"/>
  <c r="X32" i="31"/>
  <c r="E33" i="31"/>
  <c r="F33" i="31"/>
  <c r="G33" i="31"/>
  <c r="H33" i="31"/>
  <c r="I33" i="31"/>
  <c r="J33" i="31"/>
  <c r="K33" i="31"/>
  <c r="L33" i="31"/>
  <c r="M33" i="31"/>
  <c r="N33" i="31"/>
  <c r="O33" i="31"/>
  <c r="P33" i="31"/>
  <c r="Q33" i="31"/>
  <c r="R33" i="31"/>
  <c r="S33" i="31"/>
  <c r="T33" i="31"/>
  <c r="U33" i="31"/>
  <c r="V33" i="31"/>
  <c r="W33" i="31"/>
  <c r="X33" i="31"/>
  <c r="E34" i="31"/>
  <c r="F34" i="31"/>
  <c r="G34" i="31"/>
  <c r="H34" i="31"/>
  <c r="I34" i="31"/>
  <c r="J34" i="31"/>
  <c r="K34" i="31"/>
  <c r="L34" i="31"/>
  <c r="M34" i="31"/>
  <c r="N34" i="31"/>
  <c r="O34" i="31"/>
  <c r="P34" i="31"/>
  <c r="Q34" i="31"/>
  <c r="R34" i="31"/>
  <c r="S34" i="31"/>
  <c r="T34" i="31"/>
  <c r="U34" i="31"/>
  <c r="V34" i="31"/>
  <c r="W34" i="31"/>
  <c r="X34" i="31"/>
  <c r="E35" i="31"/>
  <c r="F35" i="31"/>
  <c r="G35" i="31"/>
  <c r="H35" i="31"/>
  <c r="I35" i="31"/>
  <c r="J35" i="31"/>
  <c r="K35" i="31"/>
  <c r="L35" i="31"/>
  <c r="M35" i="31"/>
  <c r="N35" i="31"/>
  <c r="O35" i="31"/>
  <c r="P35" i="31"/>
  <c r="Q35" i="31"/>
  <c r="R35" i="31"/>
  <c r="S35" i="31"/>
  <c r="T35" i="31"/>
  <c r="U35" i="31"/>
  <c r="V35" i="31"/>
  <c r="W35" i="31"/>
  <c r="X35" i="31"/>
  <c r="E36" i="31"/>
  <c r="F36" i="31"/>
  <c r="G36" i="31"/>
  <c r="H36" i="31"/>
  <c r="I36" i="31"/>
  <c r="J36" i="31"/>
  <c r="K36" i="31"/>
  <c r="L36" i="31"/>
  <c r="M36" i="31"/>
  <c r="N36" i="31"/>
  <c r="O36" i="31"/>
  <c r="P36" i="31"/>
  <c r="Q36" i="31"/>
  <c r="R36" i="31"/>
  <c r="S36" i="31"/>
  <c r="T36" i="31"/>
  <c r="U36" i="31"/>
  <c r="V36" i="31"/>
  <c r="W36" i="31"/>
  <c r="X36" i="31"/>
  <c r="E37" i="31"/>
  <c r="F37" i="31"/>
  <c r="G37" i="31"/>
  <c r="H37" i="31"/>
  <c r="I37" i="31"/>
  <c r="J37" i="31"/>
  <c r="K37" i="31"/>
  <c r="L37" i="31"/>
  <c r="M37" i="31"/>
  <c r="N37" i="31"/>
  <c r="O37" i="31"/>
  <c r="P37" i="31"/>
  <c r="Q37" i="31"/>
  <c r="R37" i="31"/>
  <c r="S37" i="31"/>
  <c r="T37" i="31"/>
  <c r="U37" i="31"/>
  <c r="V37" i="31"/>
  <c r="W37" i="31"/>
  <c r="X37" i="31"/>
  <c r="E38" i="31"/>
  <c r="F38" i="31"/>
  <c r="G38" i="31"/>
  <c r="H38" i="31"/>
  <c r="I38" i="31"/>
  <c r="J38" i="31"/>
  <c r="K38" i="31"/>
  <c r="L38" i="31"/>
  <c r="M38" i="31"/>
  <c r="N38" i="31"/>
  <c r="O38" i="31"/>
  <c r="P38" i="31"/>
  <c r="Q38" i="31"/>
  <c r="R38" i="31"/>
  <c r="S38" i="31"/>
  <c r="T38" i="31"/>
  <c r="U38" i="31"/>
  <c r="V38" i="31"/>
  <c r="W38" i="31"/>
  <c r="X38" i="31"/>
  <c r="E39" i="31"/>
  <c r="F39" i="31"/>
  <c r="G39" i="31"/>
  <c r="H39" i="31"/>
  <c r="I39" i="31"/>
  <c r="J39" i="31"/>
  <c r="K39" i="31"/>
  <c r="L39" i="31"/>
  <c r="M39" i="31"/>
  <c r="N39" i="31"/>
  <c r="O39" i="31"/>
  <c r="P39" i="31"/>
  <c r="Q39" i="31"/>
  <c r="R39" i="31"/>
  <c r="S39" i="31"/>
  <c r="T39" i="31"/>
  <c r="U39" i="31"/>
  <c r="V39" i="31"/>
  <c r="W39" i="31"/>
  <c r="X39" i="31"/>
  <c r="E40" i="31"/>
  <c r="F40" i="31"/>
  <c r="G40" i="31"/>
  <c r="H40" i="31"/>
  <c r="I40" i="31"/>
  <c r="J40" i="31"/>
  <c r="K40" i="31"/>
  <c r="L40" i="31"/>
  <c r="M40" i="31"/>
  <c r="N40" i="31"/>
  <c r="O40" i="31"/>
  <c r="P40" i="31"/>
  <c r="Q40" i="31"/>
  <c r="R40" i="31"/>
  <c r="S40" i="31"/>
  <c r="T40" i="31"/>
  <c r="U40" i="31"/>
  <c r="V40" i="31"/>
  <c r="W40" i="31"/>
  <c r="X40" i="31"/>
  <c r="E41" i="31"/>
  <c r="F41" i="31"/>
  <c r="G41" i="31"/>
  <c r="H41" i="31"/>
  <c r="I41" i="31"/>
  <c r="J41" i="31"/>
  <c r="K41" i="31"/>
  <c r="L41" i="31"/>
  <c r="M41" i="31"/>
  <c r="N41" i="31"/>
  <c r="O41" i="31"/>
  <c r="P41" i="31"/>
  <c r="Q41" i="31"/>
  <c r="R41" i="31"/>
  <c r="S41" i="31"/>
  <c r="T41" i="31"/>
  <c r="U41" i="31"/>
  <c r="V41" i="31"/>
  <c r="W41" i="31"/>
  <c r="X41" i="31"/>
  <c r="E42" i="31"/>
  <c r="F42" i="31"/>
  <c r="G42" i="31"/>
  <c r="H42" i="31"/>
  <c r="I42" i="31"/>
  <c r="J42" i="31"/>
  <c r="K42" i="31"/>
  <c r="L42" i="31"/>
  <c r="M42" i="31"/>
  <c r="N42" i="31"/>
  <c r="O42" i="31"/>
  <c r="P42" i="31"/>
  <c r="Q42" i="31"/>
  <c r="R42" i="31"/>
  <c r="S42" i="31"/>
  <c r="T42" i="31"/>
  <c r="U42" i="31"/>
  <c r="V42" i="31"/>
  <c r="W42" i="31"/>
  <c r="X42" i="31"/>
  <c r="E43" i="31"/>
  <c r="F43" i="31"/>
  <c r="G43" i="31"/>
  <c r="H43" i="31"/>
  <c r="I43" i="31"/>
  <c r="J43" i="31"/>
  <c r="K43" i="31"/>
  <c r="L43" i="31"/>
  <c r="M43" i="31"/>
  <c r="N43" i="31"/>
  <c r="O43" i="31"/>
  <c r="P43" i="31"/>
  <c r="Q43" i="31"/>
  <c r="R43" i="31"/>
  <c r="S43" i="31"/>
  <c r="T43" i="31"/>
  <c r="U43" i="31"/>
  <c r="V43" i="31"/>
  <c r="W43" i="31"/>
  <c r="X43" i="31"/>
  <c r="E44" i="31"/>
  <c r="F44" i="31"/>
  <c r="G44" i="31"/>
  <c r="H44" i="31"/>
  <c r="I44" i="31"/>
  <c r="J44" i="31"/>
  <c r="K44" i="31"/>
  <c r="L44" i="31"/>
  <c r="M44" i="31"/>
  <c r="N44" i="31"/>
  <c r="O44" i="31"/>
  <c r="P44" i="31"/>
  <c r="Q44" i="31"/>
  <c r="R44" i="31"/>
  <c r="S44" i="31"/>
  <c r="T44" i="31"/>
  <c r="U44" i="31"/>
  <c r="V44" i="31"/>
  <c r="W44" i="31"/>
  <c r="X44" i="31"/>
  <c r="E45" i="31"/>
  <c r="F45" i="31"/>
  <c r="G45" i="31"/>
  <c r="H45" i="31"/>
  <c r="I45" i="31"/>
  <c r="J45" i="31"/>
  <c r="K45" i="31"/>
  <c r="L45" i="31"/>
  <c r="M45" i="31"/>
  <c r="N45" i="31"/>
  <c r="O45" i="31"/>
  <c r="P45" i="31"/>
  <c r="Q45" i="31"/>
  <c r="R45" i="31"/>
  <c r="S45" i="31"/>
  <c r="T45" i="31"/>
  <c r="U45" i="31"/>
  <c r="V45" i="31"/>
  <c r="W45" i="31"/>
  <c r="X45" i="31"/>
  <c r="E46" i="31"/>
  <c r="F46" i="31"/>
  <c r="G46" i="31"/>
  <c r="H46" i="31"/>
  <c r="I46" i="31"/>
  <c r="J46" i="31"/>
  <c r="K46" i="31"/>
  <c r="L46" i="31"/>
  <c r="M46" i="31"/>
  <c r="N46" i="31"/>
  <c r="O46" i="31"/>
  <c r="P46" i="31"/>
  <c r="Q46" i="31"/>
  <c r="R46" i="31"/>
  <c r="S46" i="31"/>
  <c r="T46" i="31"/>
  <c r="U46" i="31"/>
  <c r="V46" i="31"/>
  <c r="W46" i="31"/>
  <c r="X46" i="31"/>
  <c r="F28" i="31"/>
  <c r="G28" i="31"/>
  <c r="H28" i="31"/>
  <c r="I28" i="31"/>
  <c r="J28" i="31"/>
  <c r="K28" i="31"/>
  <c r="L28" i="31"/>
  <c r="M28" i="31"/>
  <c r="N28" i="31"/>
  <c r="O28" i="31"/>
  <c r="P28" i="31"/>
  <c r="Q28" i="31"/>
  <c r="R28" i="31"/>
  <c r="S28" i="31"/>
  <c r="T28" i="31"/>
  <c r="U28" i="31"/>
  <c r="V28" i="31"/>
  <c r="W28" i="31"/>
  <c r="X28" i="31"/>
  <c r="E28" i="31"/>
  <c r="F24" i="31"/>
  <c r="G24" i="31"/>
  <c r="H24" i="31"/>
  <c r="I24" i="31"/>
  <c r="J24" i="31"/>
  <c r="K24" i="31"/>
  <c r="L24" i="31"/>
  <c r="M24" i="31"/>
  <c r="N24" i="31"/>
  <c r="O24" i="31"/>
  <c r="P24" i="31"/>
  <c r="Q24" i="31"/>
  <c r="R24" i="31"/>
  <c r="S24" i="31"/>
  <c r="T24" i="31"/>
  <c r="U24" i="31"/>
  <c r="V24" i="31"/>
  <c r="W24" i="31"/>
  <c r="X24" i="31"/>
  <c r="E24" i="31"/>
  <c r="E17" i="33" l="1"/>
  <c r="E16" i="33"/>
  <c r="E28" i="33"/>
  <c r="E29" i="33"/>
  <c r="E22" i="33"/>
  <c r="H17" i="33"/>
  <c r="H29" i="33"/>
  <c r="A30" i="33"/>
  <c r="A31" i="33" s="1"/>
  <c r="H31" i="33" s="1"/>
  <c r="A18" i="33"/>
  <c r="C18" i="33" s="1"/>
  <c r="D18" i="33" s="1"/>
  <c r="H12" i="33"/>
  <c r="C12" i="33"/>
  <c r="D12" i="33" s="1"/>
  <c r="A13" i="33"/>
  <c r="H18" i="33"/>
  <c r="C23" i="33"/>
  <c r="D23" i="33" s="1"/>
  <c r="C11" i="33"/>
  <c r="D11" i="33" s="1"/>
  <c r="A19" i="33"/>
  <c r="H30" i="33"/>
  <c r="A24" i="33"/>
  <c r="H11" i="33"/>
  <c r="E6" i="17"/>
  <c r="R47" i="31"/>
  <c r="W47" i="31"/>
  <c r="U47" i="31"/>
  <c r="E47" i="31"/>
  <c r="S47" i="31"/>
  <c r="K47" i="31"/>
  <c r="I47" i="31"/>
  <c r="J47" i="31"/>
  <c r="G47" i="31"/>
  <c r="H47" i="31"/>
  <c r="F47" i="31"/>
  <c r="N47" i="31"/>
  <c r="M47" i="31"/>
  <c r="Q47" i="31"/>
  <c r="O47" i="31"/>
  <c r="L47" i="31"/>
  <c r="P47" i="31"/>
  <c r="V47" i="31"/>
  <c r="T47" i="31"/>
  <c r="Y5" i="28"/>
  <c r="Z5" i="28"/>
  <c r="F18" i="33" l="1"/>
  <c r="G18" i="33" s="1"/>
  <c r="E18" i="33"/>
  <c r="C30" i="33"/>
  <c r="D30" i="33" s="1"/>
  <c r="E30" i="33" s="1"/>
  <c r="F23" i="33"/>
  <c r="G23" i="33" s="1"/>
  <c r="E23" i="33"/>
  <c r="F11" i="33"/>
  <c r="G11" i="33" s="1"/>
  <c r="A32" i="33"/>
  <c r="C31" i="33"/>
  <c r="D31" i="33" s="1"/>
  <c r="F12" i="33"/>
  <c r="G12" i="33" s="1"/>
  <c r="H19" i="33"/>
  <c r="A20" i="33"/>
  <c r="C19" i="33"/>
  <c r="D19" i="33" s="1"/>
  <c r="H32" i="33"/>
  <c r="C32" i="33"/>
  <c r="D32" i="33" s="1"/>
  <c r="A25" i="33"/>
  <c r="C24" i="33"/>
  <c r="D24" i="33" s="1"/>
  <c r="H24" i="33"/>
  <c r="A14" i="33"/>
  <c r="C13" i="33"/>
  <c r="D13" i="33" s="1"/>
  <c r="H13" i="33"/>
  <c r="H6" i="17"/>
  <c r="E7" i="17"/>
  <c r="F5" i="2" s="1"/>
  <c r="F6" i="4" s="1"/>
  <c r="E8" i="17"/>
  <c r="G5" i="2" s="1"/>
  <c r="E9" i="17"/>
  <c r="H5" i="2" s="1"/>
  <c r="H6" i="4" s="1"/>
  <c r="E10" i="17"/>
  <c r="I5" i="2" s="1"/>
  <c r="I5" i="4" s="1"/>
  <c r="E11" i="17"/>
  <c r="J5" i="2" s="1"/>
  <c r="E12" i="17"/>
  <c r="K5" i="2" s="1"/>
  <c r="E13" i="17"/>
  <c r="L5" i="2" s="1"/>
  <c r="L6" i="4" s="1"/>
  <c r="E14" i="17"/>
  <c r="M5" i="2" s="1"/>
  <c r="M6" i="4" s="1"/>
  <c r="E15" i="17"/>
  <c r="N5" i="2" s="1"/>
  <c r="N5" i="4" s="1"/>
  <c r="E16" i="17"/>
  <c r="O5" i="2" s="1"/>
  <c r="O6" i="4" s="1"/>
  <c r="E17" i="17"/>
  <c r="P5" i="2" s="1"/>
  <c r="P6" i="4" s="1"/>
  <c r="E18" i="17"/>
  <c r="Q5" i="2" s="1"/>
  <c r="E19" i="17"/>
  <c r="R5" i="2" s="1"/>
  <c r="E20" i="17"/>
  <c r="S5" i="2" s="1"/>
  <c r="E21" i="17"/>
  <c r="T5" i="2" s="1"/>
  <c r="T5" i="4" s="1"/>
  <c r="E22" i="17"/>
  <c r="U5" i="2" s="1"/>
  <c r="U5" i="4" s="1"/>
  <c r="V5" i="2"/>
  <c r="V5" i="4" s="1"/>
  <c r="E24" i="17"/>
  <c r="W5" i="2" s="1"/>
  <c r="W5" i="4" s="1"/>
  <c r="E25" i="17"/>
  <c r="X5" i="2" s="1"/>
  <c r="X5" i="4" s="1"/>
  <c r="E5" i="2"/>
  <c r="P10" i="30"/>
  <c r="O10" i="30"/>
  <c r="N10" i="30"/>
  <c r="M10" i="30"/>
  <c r="L10" i="30"/>
  <c r="K10" i="30"/>
  <c r="J10" i="30"/>
  <c r="I10" i="30"/>
  <c r="H10" i="30"/>
  <c r="G10" i="30"/>
  <c r="F10" i="30"/>
  <c r="E10" i="30"/>
  <c r="X10" i="30"/>
  <c r="W10" i="30"/>
  <c r="V10" i="30"/>
  <c r="U10" i="30"/>
  <c r="T10" i="30"/>
  <c r="S10" i="30"/>
  <c r="R10" i="30"/>
  <c r="Q10" i="30"/>
  <c r="F9" i="21"/>
  <c r="B7" i="21"/>
  <c r="E11" i="29"/>
  <c r="E10" i="29"/>
  <c r="E9" i="29"/>
  <c r="F10" i="28"/>
  <c r="G10" i="28"/>
  <c r="H10" i="28"/>
  <c r="J10" i="28"/>
  <c r="K10" i="28"/>
  <c r="L10" i="28"/>
  <c r="M10" i="28"/>
  <c r="O10" i="28"/>
  <c r="P10" i="28"/>
  <c r="Q10" i="28"/>
  <c r="R10" i="28"/>
  <c r="T10" i="28"/>
  <c r="U10" i="28"/>
  <c r="V10" i="28"/>
  <c r="W10" i="28"/>
  <c r="Y10" i="28"/>
  <c r="Y19" i="28" s="1"/>
  <c r="Z10" i="28"/>
  <c r="Z19" i="28" s="1"/>
  <c r="Z11" i="27"/>
  <c r="F11" i="27"/>
  <c r="G11" i="27"/>
  <c r="H11" i="27"/>
  <c r="I11" i="27"/>
  <c r="I10" i="28" s="1"/>
  <c r="J11" i="27"/>
  <c r="K11" i="27"/>
  <c r="L11" i="27"/>
  <c r="M11" i="27"/>
  <c r="N11" i="27"/>
  <c r="N10" i="28" s="1"/>
  <c r="O11" i="27"/>
  <c r="P11" i="27"/>
  <c r="Q11" i="27"/>
  <c r="R11" i="27"/>
  <c r="S11" i="27"/>
  <c r="S10" i="28" s="1"/>
  <c r="T11" i="27"/>
  <c r="U11" i="27"/>
  <c r="V11" i="27"/>
  <c r="W11" i="27"/>
  <c r="X11" i="27"/>
  <c r="X10" i="28" s="1"/>
  <c r="Y11" i="27"/>
  <c r="E11" i="27"/>
  <c r="E10" i="28" s="1"/>
  <c r="G7" i="20"/>
  <c r="H7" i="20" s="1"/>
  <c r="I7" i="20" s="1"/>
  <c r="J7" i="20" s="1"/>
  <c r="K7" i="20" s="1"/>
  <c r="L7" i="20" s="1"/>
  <c r="M7" i="20" s="1"/>
  <c r="N7" i="20" s="1"/>
  <c r="O7" i="20" s="1"/>
  <c r="P7" i="20" s="1"/>
  <c r="Q7" i="20" s="1"/>
  <c r="R7" i="20" s="1"/>
  <c r="S7" i="20" s="1"/>
  <c r="T7" i="20" s="1"/>
  <c r="U7" i="20" s="1"/>
  <c r="V7" i="20" s="1"/>
  <c r="W7" i="20" s="1"/>
  <c r="X7" i="20" s="1"/>
  <c r="Y7" i="20" s="1"/>
  <c r="Z7" i="20" s="1"/>
  <c r="C15" i="25"/>
  <c r="D15" i="25"/>
  <c r="I15" i="25"/>
  <c r="J15" i="25" s="1"/>
  <c r="B40" i="25" s="1"/>
  <c r="C16" i="25"/>
  <c r="D16" i="25"/>
  <c r="C41" i="25" s="1"/>
  <c r="I16" i="25"/>
  <c r="J16" i="25"/>
  <c r="C17" i="25"/>
  <c r="D17" i="25" s="1"/>
  <c r="C42" i="25" s="1"/>
  <c r="I17" i="25"/>
  <c r="J17" i="25"/>
  <c r="B42" i="25" s="1"/>
  <c r="C18" i="25"/>
  <c r="D18" i="25" s="1"/>
  <c r="C43" i="25" s="1"/>
  <c r="I18" i="25"/>
  <c r="J18" i="25"/>
  <c r="B43" i="25" s="1"/>
  <c r="C19" i="25"/>
  <c r="D19" i="25"/>
  <c r="C44" i="25" s="1"/>
  <c r="I19" i="25"/>
  <c r="J19" i="25"/>
  <c r="B44" i="25" s="1"/>
  <c r="D44" i="25" s="1"/>
  <c r="F44" i="25" s="1"/>
  <c r="C20" i="25"/>
  <c r="D20" i="25"/>
  <c r="C45" i="25" s="1"/>
  <c r="I20" i="25"/>
  <c r="J20" i="25" s="1"/>
  <c r="B45" i="25" s="1"/>
  <c r="C21" i="25"/>
  <c r="D21" i="25" s="1"/>
  <c r="C46" i="25" s="1"/>
  <c r="I21" i="25"/>
  <c r="J21" i="25"/>
  <c r="C22" i="25"/>
  <c r="D22" i="25" s="1"/>
  <c r="C47" i="25" s="1"/>
  <c r="I22" i="25"/>
  <c r="J22" i="25"/>
  <c r="B47" i="25" s="1"/>
  <c r="C23" i="25"/>
  <c r="D23" i="25" s="1"/>
  <c r="C48" i="25" s="1"/>
  <c r="D48" i="25" s="1"/>
  <c r="I23" i="25"/>
  <c r="J23" i="25"/>
  <c r="B48" i="25" s="1"/>
  <c r="C24" i="25"/>
  <c r="D24" i="25" s="1"/>
  <c r="C49" i="25" s="1"/>
  <c r="I24" i="25"/>
  <c r="J24" i="25"/>
  <c r="C25" i="25"/>
  <c r="D25" i="25" s="1"/>
  <c r="C50" i="25" s="1"/>
  <c r="D50" i="25" s="1"/>
  <c r="I25" i="25"/>
  <c r="J25" i="25"/>
  <c r="B50" i="25" s="1"/>
  <c r="C26" i="25"/>
  <c r="D26" i="25"/>
  <c r="C51" i="25" s="1"/>
  <c r="D51" i="25" s="1"/>
  <c r="I26" i="25"/>
  <c r="J26" i="25" s="1"/>
  <c r="B51" i="25" s="1"/>
  <c r="C27" i="25"/>
  <c r="D27" i="25"/>
  <c r="C52" i="25" s="1"/>
  <c r="I27" i="25"/>
  <c r="J27" i="25"/>
  <c r="B52" i="25" s="1"/>
  <c r="D52" i="25" s="1"/>
  <c r="F52" i="25" s="1"/>
  <c r="C28" i="25"/>
  <c r="D28" i="25" s="1"/>
  <c r="C53" i="25" s="1"/>
  <c r="I28" i="25"/>
  <c r="J28" i="25"/>
  <c r="B53" i="25" s="1"/>
  <c r="C29" i="25"/>
  <c r="D29" i="25"/>
  <c r="C54" i="25" s="1"/>
  <c r="I29" i="25"/>
  <c r="J29" i="25"/>
  <c r="B54" i="25" s="1"/>
  <c r="C30" i="25"/>
  <c r="D30" i="25" s="1"/>
  <c r="C55" i="25" s="1"/>
  <c r="I30" i="25"/>
  <c r="J30" i="25"/>
  <c r="B55" i="25" s="1"/>
  <c r="C31" i="25"/>
  <c r="D31" i="25" s="1"/>
  <c r="C56" i="25" s="1"/>
  <c r="I31" i="25"/>
  <c r="J31" i="25"/>
  <c r="B56" i="25" s="1"/>
  <c r="C32" i="25"/>
  <c r="D32" i="25" s="1"/>
  <c r="C57" i="25" s="1"/>
  <c r="D57" i="25" s="1"/>
  <c r="F57" i="25" s="1"/>
  <c r="I32" i="25"/>
  <c r="J32" i="25"/>
  <c r="C33" i="25"/>
  <c r="D33" i="25"/>
  <c r="C58" i="25" s="1"/>
  <c r="D58" i="25" s="1"/>
  <c r="F58" i="25" s="1"/>
  <c r="I33" i="25"/>
  <c r="J33" i="25"/>
  <c r="C34" i="25"/>
  <c r="D34" i="25"/>
  <c r="C59" i="25" s="1"/>
  <c r="I34" i="25"/>
  <c r="J34" i="25"/>
  <c r="B59" i="25" s="1"/>
  <c r="B39" i="25"/>
  <c r="C39" i="25"/>
  <c r="C40" i="25"/>
  <c r="B41" i="25"/>
  <c r="B46" i="25"/>
  <c r="B49" i="25"/>
  <c r="B57" i="25"/>
  <c r="B58" i="25"/>
  <c r="B78" i="25"/>
  <c r="C78" i="25" s="1"/>
  <c r="B79" i="25"/>
  <c r="C79" i="25"/>
  <c r="B80" i="25"/>
  <c r="C80" i="25" s="1"/>
  <c r="B81" i="25"/>
  <c r="C81" i="25" s="1"/>
  <c r="E6" i="5"/>
  <c r="W8" i="5" s="1"/>
  <c r="E7" i="4"/>
  <c r="E6" i="3"/>
  <c r="H8" i="3" s="1"/>
  <c r="E6" i="2"/>
  <c r="F7" i="17"/>
  <c r="H7" i="17" s="1"/>
  <c r="F8" i="17"/>
  <c r="H8" i="17" s="1"/>
  <c r="F9" i="17"/>
  <c r="H9" i="17" s="1"/>
  <c r="F10" i="17"/>
  <c r="H10" i="17" s="1"/>
  <c r="F11" i="17"/>
  <c r="H11" i="17" s="1"/>
  <c r="F12" i="17"/>
  <c r="H12" i="17" s="1"/>
  <c r="F13" i="17"/>
  <c r="H13" i="17" s="1"/>
  <c r="F14" i="17"/>
  <c r="H14" i="17" s="1"/>
  <c r="F15" i="17"/>
  <c r="H15" i="17" s="1"/>
  <c r="F16" i="17"/>
  <c r="H16" i="17" s="1"/>
  <c r="F17" i="17"/>
  <c r="H17" i="17" s="1"/>
  <c r="F18" i="17"/>
  <c r="H18" i="17" s="1"/>
  <c r="F19" i="17"/>
  <c r="H19" i="17" s="1"/>
  <c r="F20" i="17"/>
  <c r="H20" i="17" s="1"/>
  <c r="F21" i="17"/>
  <c r="H21" i="17" s="1"/>
  <c r="F22" i="17"/>
  <c r="H22" i="17" s="1"/>
  <c r="F23" i="17"/>
  <c r="H23" i="17" s="1"/>
  <c r="F24" i="17"/>
  <c r="H24" i="17" s="1"/>
  <c r="F25" i="17"/>
  <c r="B9" i="15"/>
  <c r="B8" i="15"/>
  <c r="B7" i="15"/>
  <c r="B6" i="15"/>
  <c r="F7" i="12"/>
  <c r="G7" i="12"/>
  <c r="H7" i="12"/>
  <c r="I7" i="12"/>
  <c r="J7" i="12"/>
  <c r="K7" i="12"/>
  <c r="L7" i="12"/>
  <c r="M7" i="12"/>
  <c r="N7" i="12"/>
  <c r="O7" i="12"/>
  <c r="P7" i="12"/>
  <c r="Q7" i="12"/>
  <c r="R7" i="12"/>
  <c r="S7" i="12"/>
  <c r="T7" i="12"/>
  <c r="U7" i="12"/>
  <c r="V7" i="12"/>
  <c r="W7" i="12"/>
  <c r="X7" i="12"/>
  <c r="E7" i="12"/>
  <c r="I14" i="17" l="1"/>
  <c r="M14" i="17"/>
  <c r="N14" i="17" s="1"/>
  <c r="I10" i="17"/>
  <c r="M10" i="17"/>
  <c r="N10" i="17" s="1"/>
  <c r="I9" i="17"/>
  <c r="J9" i="17" s="1"/>
  <c r="K9" i="17" s="1"/>
  <c r="M9" i="17"/>
  <c r="N9" i="17" s="1"/>
  <c r="I7" i="17"/>
  <c r="M7" i="17"/>
  <c r="N7" i="17" s="1"/>
  <c r="I17" i="17"/>
  <c r="J17" i="17" s="1"/>
  <c r="K17" i="17" s="1"/>
  <c r="M17" i="17"/>
  <c r="N17" i="17" s="1"/>
  <c r="I13" i="17"/>
  <c r="J13" i="17" s="1"/>
  <c r="K13" i="17" s="1"/>
  <c r="M13" i="17"/>
  <c r="N13" i="17" s="1"/>
  <c r="I16" i="17"/>
  <c r="J16" i="17" s="1"/>
  <c r="K16" i="17" s="1"/>
  <c r="M16" i="17"/>
  <c r="N16" i="17" s="1"/>
  <c r="I12" i="17"/>
  <c r="J12" i="17" s="1"/>
  <c r="K12" i="17" s="1"/>
  <c r="M12" i="17"/>
  <c r="N12" i="17" s="1"/>
  <c r="I11" i="17"/>
  <c r="J11" i="17" s="1"/>
  <c r="K11" i="17" s="1"/>
  <c r="M11" i="17"/>
  <c r="N11" i="17" s="1"/>
  <c r="I23" i="17"/>
  <c r="J23" i="17" s="1"/>
  <c r="K23" i="17" s="1"/>
  <c r="M23" i="17"/>
  <c r="N23" i="17" s="1"/>
  <c r="I21" i="17"/>
  <c r="M21" i="17"/>
  <c r="N21" i="17" s="1"/>
  <c r="I19" i="17"/>
  <c r="M19" i="17"/>
  <c r="N19" i="17" s="1"/>
  <c r="I15" i="17"/>
  <c r="J15" i="17" s="1"/>
  <c r="K15" i="17" s="1"/>
  <c r="M15" i="17"/>
  <c r="N15" i="17" s="1"/>
  <c r="I8" i="17"/>
  <c r="M8" i="17"/>
  <c r="N8" i="17" s="1"/>
  <c r="I24" i="17"/>
  <c r="J24" i="17" s="1"/>
  <c r="K24" i="17" s="1"/>
  <c r="M24" i="17"/>
  <c r="N24" i="17" s="1"/>
  <c r="I22" i="17"/>
  <c r="J22" i="17" s="1"/>
  <c r="K22" i="17" s="1"/>
  <c r="M22" i="17"/>
  <c r="N22" i="17" s="1"/>
  <c r="I20" i="17"/>
  <c r="J20" i="17" s="1"/>
  <c r="K20" i="17" s="1"/>
  <c r="M20" i="17"/>
  <c r="N20" i="17" s="1"/>
  <c r="I18" i="17"/>
  <c r="J18" i="17" s="1"/>
  <c r="K18" i="17" s="1"/>
  <c r="M18" i="17"/>
  <c r="N18" i="17" s="1"/>
  <c r="I6" i="17"/>
  <c r="J6" i="17" s="1"/>
  <c r="K6" i="17" s="1"/>
  <c r="M6" i="17"/>
  <c r="N6" i="17" s="1"/>
  <c r="O6" i="17" s="1"/>
  <c r="P6" i="17" s="1"/>
  <c r="R6" i="17" s="1"/>
  <c r="S6" i="17" s="1"/>
  <c r="J10" i="17"/>
  <c r="K10" i="17" s="1"/>
  <c r="J14" i="17"/>
  <c r="K14" i="17" s="1"/>
  <c r="H25" i="17"/>
  <c r="J21" i="17"/>
  <c r="K21" i="17" s="1"/>
  <c r="J19" i="17"/>
  <c r="K19" i="17" s="1"/>
  <c r="J8" i="17"/>
  <c r="K8" i="17" s="1"/>
  <c r="J7" i="17"/>
  <c r="K7" i="17" s="1"/>
  <c r="F30" i="33"/>
  <c r="G30" i="33" s="1"/>
  <c r="F19" i="33"/>
  <c r="G19" i="33" s="1"/>
  <c r="E19" i="33"/>
  <c r="F31" i="33"/>
  <c r="G31" i="33" s="1"/>
  <c r="E31" i="33"/>
  <c r="F32" i="33"/>
  <c r="G32" i="33" s="1"/>
  <c r="E32" i="33"/>
  <c r="F24" i="33"/>
  <c r="G24" i="33" s="1"/>
  <c r="E24" i="33"/>
  <c r="F13" i="33"/>
  <c r="G13" i="33" s="1"/>
  <c r="C14" i="33"/>
  <c r="D14" i="33" s="1"/>
  <c r="H14" i="33"/>
  <c r="H25" i="33"/>
  <c r="C25" i="33"/>
  <c r="D25" i="33" s="1"/>
  <c r="A26" i="33"/>
  <c r="H20" i="33"/>
  <c r="C20" i="33"/>
  <c r="D20" i="33" s="1"/>
  <c r="G9" i="2"/>
  <c r="E5" i="4"/>
  <c r="E9" i="2"/>
  <c r="Q7" i="2"/>
  <c r="S7" i="2"/>
  <c r="R7" i="2"/>
  <c r="H8" i="5"/>
  <c r="G8" i="5"/>
  <c r="F8" i="5"/>
  <c r="K8" i="5"/>
  <c r="G23" i="17"/>
  <c r="G17" i="17"/>
  <c r="G11" i="17"/>
  <c r="J5" i="4"/>
  <c r="J6" i="4"/>
  <c r="K5" i="4"/>
  <c r="K6" i="4"/>
  <c r="G6" i="4"/>
  <c r="G5" i="4"/>
  <c r="F5" i="4"/>
  <c r="F9" i="4" s="1"/>
  <c r="G25" i="17"/>
  <c r="G24" i="17"/>
  <c r="G10" i="17"/>
  <c r="G8" i="17"/>
  <c r="G7" i="17"/>
  <c r="G21" i="17"/>
  <c r="G20" i="17"/>
  <c r="G19" i="17"/>
  <c r="G18" i="17"/>
  <c r="G9" i="17"/>
  <c r="G22" i="17"/>
  <c r="G15" i="17"/>
  <c r="G14" i="17"/>
  <c r="G13" i="17"/>
  <c r="G16" i="17"/>
  <c r="G12" i="17"/>
  <c r="F49" i="25"/>
  <c r="D49" i="25"/>
  <c r="D41" i="25"/>
  <c r="F41" i="25" s="1"/>
  <c r="D54" i="25"/>
  <c r="F54" i="25" s="1"/>
  <c r="F50" i="25"/>
  <c r="D42" i="25"/>
  <c r="F42" i="25" s="1"/>
  <c r="D55" i="25"/>
  <c r="F55" i="25" s="1"/>
  <c r="D43" i="25"/>
  <c r="F43" i="25" s="1"/>
  <c r="D59" i="25"/>
  <c r="F59" i="25" s="1"/>
  <c r="H5" i="4"/>
  <c r="H9" i="4" s="1"/>
  <c r="E6" i="4"/>
  <c r="I6" i="4"/>
  <c r="I9" i="4" s="1"/>
  <c r="M5" i="4"/>
  <c r="M9" i="4" s="1"/>
  <c r="L5" i="4"/>
  <c r="L9" i="4" s="1"/>
  <c r="O5" i="4"/>
  <c r="O9" i="4" s="1"/>
  <c r="P5" i="4"/>
  <c r="P9" i="4" s="1"/>
  <c r="T7" i="2"/>
  <c r="N6" i="4"/>
  <c r="N9" i="4" s="1"/>
  <c r="P7" i="2"/>
  <c r="S9" i="2"/>
  <c r="F6" i="29"/>
  <c r="F5" i="29"/>
  <c r="X9" i="21"/>
  <c r="X6" i="29" s="1"/>
  <c r="W9" i="21"/>
  <c r="W5" i="29" s="1"/>
  <c r="V9" i="21"/>
  <c r="V5" i="29" s="1"/>
  <c r="U9" i="21"/>
  <c r="U5" i="29" s="1"/>
  <c r="T9" i="21"/>
  <c r="T5" i="29" s="1"/>
  <c r="S9" i="21"/>
  <c r="S5" i="29" s="1"/>
  <c r="R9" i="21"/>
  <c r="R5" i="29" s="1"/>
  <c r="Q9" i="21"/>
  <c r="Q5" i="29" s="1"/>
  <c r="P9" i="21"/>
  <c r="P5" i="29" s="1"/>
  <c r="O9" i="21"/>
  <c r="O5" i="29" s="1"/>
  <c r="N9" i="21"/>
  <c r="N5" i="29" s="1"/>
  <c r="M9" i="21"/>
  <c r="M5" i="29" s="1"/>
  <c r="L9" i="21"/>
  <c r="L5" i="29" s="1"/>
  <c r="K9" i="21"/>
  <c r="K5" i="29" s="1"/>
  <c r="J9" i="21"/>
  <c r="J5" i="29" s="1"/>
  <c r="I9" i="21"/>
  <c r="I5" i="29" s="1"/>
  <c r="H9" i="21"/>
  <c r="G9" i="21"/>
  <c r="F7" i="29"/>
  <c r="F8" i="29"/>
  <c r="F9" i="2"/>
  <c r="V9" i="2"/>
  <c r="U9" i="2"/>
  <c r="X6" i="4"/>
  <c r="X9" i="4" s="1"/>
  <c r="Q6" i="4"/>
  <c r="Q5" i="4"/>
  <c r="Q9" i="2"/>
  <c r="W7" i="2"/>
  <c r="T6" i="4"/>
  <c r="T9" i="4" s="1"/>
  <c r="I8" i="3"/>
  <c r="O8" i="3"/>
  <c r="P8" i="3"/>
  <c r="Q8" i="3"/>
  <c r="R8" i="3"/>
  <c r="S8" i="3"/>
  <c r="T8" i="3"/>
  <c r="U8" i="3"/>
  <c r="V8" i="3"/>
  <c r="W8" i="3"/>
  <c r="X8" i="3"/>
  <c r="F8" i="3"/>
  <c r="G8" i="3"/>
  <c r="I8" i="5"/>
  <c r="J8" i="5"/>
  <c r="L8" i="5"/>
  <c r="M8" i="5"/>
  <c r="N8" i="5"/>
  <c r="O8" i="5"/>
  <c r="P8" i="5"/>
  <c r="Q8" i="5"/>
  <c r="R8" i="5"/>
  <c r="S8" i="5"/>
  <c r="T8" i="5"/>
  <c r="U8" i="5"/>
  <c r="V8" i="5"/>
  <c r="L9" i="2"/>
  <c r="K7" i="2"/>
  <c r="M9" i="2"/>
  <c r="L7" i="2"/>
  <c r="N9" i="2"/>
  <c r="M7" i="2"/>
  <c r="O9" i="2"/>
  <c r="N7" i="2"/>
  <c r="P9" i="2"/>
  <c r="O7" i="2"/>
  <c r="N8" i="3"/>
  <c r="M8" i="3"/>
  <c r="H9" i="2"/>
  <c r="X9" i="2"/>
  <c r="I9" i="2"/>
  <c r="W9" i="2"/>
  <c r="J9" i="2"/>
  <c r="T9" i="2"/>
  <c r="R9" i="2"/>
  <c r="W6" i="4"/>
  <c r="W9" i="4" s="1"/>
  <c r="E7" i="2"/>
  <c r="V6" i="4"/>
  <c r="V9" i="4" s="1"/>
  <c r="X7" i="2"/>
  <c r="U6" i="4"/>
  <c r="U9" i="4" s="1"/>
  <c r="R6" i="4"/>
  <c r="R5" i="4"/>
  <c r="V7" i="2"/>
  <c r="E8" i="5"/>
  <c r="S6" i="4"/>
  <c r="S5" i="4"/>
  <c r="U7" i="2"/>
  <c r="X8" i="5"/>
  <c r="J7" i="2"/>
  <c r="K9" i="2"/>
  <c r="I7" i="2"/>
  <c r="H7" i="2"/>
  <c r="G7" i="2"/>
  <c r="F7" i="2"/>
  <c r="E8" i="3"/>
  <c r="L8" i="3"/>
  <c r="K8" i="3"/>
  <c r="J8" i="3"/>
  <c r="D53" i="25"/>
  <c r="F53" i="25" s="1"/>
  <c r="D45" i="25"/>
  <c r="F45" i="25" s="1"/>
  <c r="D56" i="25"/>
  <c r="F56" i="25" s="1"/>
  <c r="F48" i="25"/>
  <c r="D47" i="25"/>
  <c r="F47" i="25" s="1"/>
  <c r="D40" i="25"/>
  <c r="E40" i="25" s="1"/>
  <c r="F51" i="25"/>
  <c r="D46" i="25"/>
  <c r="F46" i="25" s="1"/>
  <c r="I25" i="17" l="1"/>
  <c r="J25" i="17" s="1"/>
  <c r="K25" i="17" s="1"/>
  <c r="M25" i="17"/>
  <c r="N25" i="17" s="1"/>
  <c r="F20" i="33"/>
  <c r="G20" i="33" s="1"/>
  <c r="E20" i="33"/>
  <c r="F25" i="33"/>
  <c r="G25" i="33" s="1"/>
  <c r="E25" i="33"/>
  <c r="F14" i="33"/>
  <c r="G14" i="33" s="1"/>
  <c r="C26" i="33"/>
  <c r="D26" i="33" s="1"/>
  <c r="H26" i="33"/>
  <c r="E9" i="4"/>
  <c r="U6" i="29"/>
  <c r="V6" i="29"/>
  <c r="T6" i="29"/>
  <c r="W6" i="29"/>
  <c r="K9" i="4"/>
  <c r="K7" i="9" s="1"/>
  <c r="J9" i="4"/>
  <c r="J7" i="9" s="1"/>
  <c r="G9" i="4"/>
  <c r="G7" i="9" s="1"/>
  <c r="F40" i="25"/>
  <c r="S9" i="4"/>
  <c r="S7" i="9" s="1"/>
  <c r="R7" i="29"/>
  <c r="S7" i="29"/>
  <c r="V8" i="29"/>
  <c r="V7" i="29"/>
  <c r="W7" i="29"/>
  <c r="E8" i="21"/>
  <c r="E5" i="29"/>
  <c r="E7" i="29"/>
  <c r="E8" i="29"/>
  <c r="F19" i="29"/>
  <c r="I8" i="29"/>
  <c r="I7" i="29"/>
  <c r="K8" i="29"/>
  <c r="L8" i="29"/>
  <c r="L7" i="29"/>
  <c r="M8" i="29"/>
  <c r="M7" i="29"/>
  <c r="Q6" i="29"/>
  <c r="N8" i="29"/>
  <c r="R6" i="29"/>
  <c r="N7" i="29"/>
  <c r="S6" i="29"/>
  <c r="O8" i="29"/>
  <c r="H6" i="29"/>
  <c r="H5" i="29"/>
  <c r="G6" i="29"/>
  <c r="G5" i="29"/>
  <c r="J8" i="29"/>
  <c r="J7" i="29"/>
  <c r="K7" i="29"/>
  <c r="O7" i="29"/>
  <c r="P8" i="29"/>
  <c r="P7" i="29"/>
  <c r="Q8" i="29"/>
  <c r="I6" i="29"/>
  <c r="Q7" i="29"/>
  <c r="J6" i="29"/>
  <c r="R8" i="29"/>
  <c r="K6" i="29"/>
  <c r="S8" i="29"/>
  <c r="L6" i="29"/>
  <c r="T8" i="29"/>
  <c r="M6" i="29"/>
  <c r="G8" i="29"/>
  <c r="T7" i="29"/>
  <c r="X5" i="29"/>
  <c r="X7" i="29"/>
  <c r="X8" i="29"/>
  <c r="N6" i="29"/>
  <c r="G7" i="29"/>
  <c r="U8" i="29"/>
  <c r="O6" i="29"/>
  <c r="H8" i="29"/>
  <c r="U7" i="29"/>
  <c r="P6" i="29"/>
  <c r="P19" i="29" s="1"/>
  <c r="H7" i="29"/>
  <c r="W8" i="29"/>
  <c r="Q9" i="4"/>
  <c r="Q7" i="9" s="1"/>
  <c r="R9" i="4"/>
  <c r="R7" i="9" s="1"/>
  <c r="B82" i="25"/>
  <c r="C82" i="25" s="1"/>
  <c r="B84" i="25"/>
  <c r="C84" i="25" s="1"/>
  <c r="E41" i="25"/>
  <c r="E42" i="25" s="1"/>
  <c r="E43" i="25" s="1"/>
  <c r="E44" i="25" s="1"/>
  <c r="E45" i="25" s="1"/>
  <c r="E46" i="25" s="1"/>
  <c r="E47" i="25" s="1"/>
  <c r="E48" i="25" s="1"/>
  <c r="E49" i="25" s="1"/>
  <c r="E50" i="25" s="1"/>
  <c r="E51" i="25" s="1"/>
  <c r="E52" i="25" s="1"/>
  <c r="E53" i="25" s="1"/>
  <c r="E54" i="25" s="1"/>
  <c r="E55" i="25" s="1"/>
  <c r="E56" i="25" s="1"/>
  <c r="E57" i="25" s="1"/>
  <c r="E58" i="25" s="1"/>
  <c r="E59" i="25" s="1"/>
  <c r="X7" i="10"/>
  <c r="S7" i="10"/>
  <c r="R7" i="10"/>
  <c r="P7" i="10"/>
  <c r="O7" i="10"/>
  <c r="G7" i="10"/>
  <c r="V7" i="9"/>
  <c r="P7" i="9"/>
  <c r="O7" i="9"/>
  <c r="N7" i="9"/>
  <c r="E7" i="9"/>
  <c r="N7" i="8"/>
  <c r="L7" i="8"/>
  <c r="W7" i="10"/>
  <c r="V7" i="10"/>
  <c r="U7" i="10"/>
  <c r="T7" i="10"/>
  <c r="Q7" i="10"/>
  <c r="N7" i="10"/>
  <c r="M7" i="10"/>
  <c r="L7" i="10"/>
  <c r="K7" i="10"/>
  <c r="J7" i="10"/>
  <c r="I7" i="10"/>
  <c r="H7" i="10"/>
  <c r="F7" i="10"/>
  <c r="E7" i="10"/>
  <c r="X7" i="9"/>
  <c r="W7" i="9"/>
  <c r="U7" i="9"/>
  <c r="T7" i="9"/>
  <c r="M7" i="9"/>
  <c r="L7" i="9"/>
  <c r="I7" i="9"/>
  <c r="H7" i="9"/>
  <c r="F7" i="9"/>
  <c r="X7" i="8"/>
  <c r="W7" i="8"/>
  <c r="V7" i="8"/>
  <c r="U7" i="8"/>
  <c r="T7" i="8"/>
  <c r="S7" i="8"/>
  <c r="R7" i="8"/>
  <c r="Q7" i="8"/>
  <c r="P7" i="8"/>
  <c r="O7" i="8"/>
  <c r="M7" i="8"/>
  <c r="K7" i="8"/>
  <c r="J7" i="8"/>
  <c r="I7" i="8"/>
  <c r="H7" i="8"/>
  <c r="G7" i="8"/>
  <c r="F7" i="8"/>
  <c r="E7" i="8"/>
  <c r="X7" i="7"/>
  <c r="W7" i="7"/>
  <c r="V7" i="7"/>
  <c r="U7" i="7"/>
  <c r="T7" i="7"/>
  <c r="S7" i="7"/>
  <c r="R7" i="7"/>
  <c r="Q7" i="7"/>
  <c r="P7" i="7"/>
  <c r="O7" i="7"/>
  <c r="N7" i="7"/>
  <c r="M7" i="7"/>
  <c r="L7" i="7"/>
  <c r="K7" i="7"/>
  <c r="J7" i="7"/>
  <c r="I7" i="7"/>
  <c r="H7" i="7"/>
  <c r="G7" i="7"/>
  <c r="F7" i="7"/>
  <c r="E7" i="7"/>
  <c r="O7" i="17" l="1"/>
  <c r="P7" i="17" s="1"/>
  <c r="R7" i="17" s="1"/>
  <c r="S7" i="17" s="1"/>
  <c r="F26" i="33"/>
  <c r="G26" i="33" s="1"/>
  <c r="E26" i="33"/>
  <c r="N19" i="29"/>
  <c r="T19" i="29"/>
  <c r="V19" i="29"/>
  <c r="W19" i="29"/>
  <c r="I19" i="29"/>
  <c r="U19" i="29"/>
  <c r="R19" i="29"/>
  <c r="O19" i="29"/>
  <c r="Q19" i="29"/>
  <c r="S19" i="29"/>
  <c r="E19" i="29"/>
  <c r="F8" i="21"/>
  <c r="E6" i="26"/>
  <c r="E5" i="28"/>
  <c r="E19" i="28" s="1"/>
  <c r="E5" i="10"/>
  <c r="E5" i="9"/>
  <c r="E9" i="9" s="1"/>
  <c r="E7" i="11" s="1"/>
  <c r="E5" i="7"/>
  <c r="E5" i="6"/>
  <c r="E9" i="6" s="1"/>
  <c r="E6" i="12" s="1"/>
  <c r="E5" i="8"/>
  <c r="E9" i="10"/>
  <c r="E8" i="11" s="1"/>
  <c r="B87" i="25"/>
  <c r="M19" i="29"/>
  <c r="L19" i="29"/>
  <c r="K19" i="29"/>
  <c r="X19" i="29"/>
  <c r="J19" i="29"/>
  <c r="H19" i="29"/>
  <c r="G19" i="29"/>
  <c r="B83" i="25"/>
  <c r="C83" i="25" s="1"/>
  <c r="O8" i="17" l="1"/>
  <c r="P8" i="17" s="1"/>
  <c r="R8" i="17" s="1"/>
  <c r="S8" i="17" s="1"/>
  <c r="E9" i="7"/>
  <c r="E5" i="11" s="1"/>
  <c r="E7" i="26"/>
  <c r="E8" i="26"/>
  <c r="G8" i="21"/>
  <c r="F6" i="26"/>
  <c r="F5" i="28"/>
  <c r="F19" i="28" s="1"/>
  <c r="F5" i="10"/>
  <c r="F9" i="10" s="1"/>
  <c r="F8" i="11" s="1"/>
  <c r="F5" i="8"/>
  <c r="F9" i="8" s="1"/>
  <c r="F6" i="11" s="1"/>
  <c r="F5" i="9"/>
  <c r="F9" i="9" s="1"/>
  <c r="F7" i="11" s="1"/>
  <c r="F5" i="7"/>
  <c r="F5" i="6"/>
  <c r="E9" i="8"/>
  <c r="E6" i="11" s="1"/>
  <c r="O9" i="17" l="1"/>
  <c r="P9" i="17" s="1"/>
  <c r="R9" i="17" s="1"/>
  <c r="S9" i="17" s="1"/>
  <c r="E10" i="11"/>
  <c r="F9" i="7"/>
  <c r="F5" i="11" s="1"/>
  <c r="F10" i="11" s="1"/>
  <c r="F5" i="12" s="1"/>
  <c r="E5" i="12"/>
  <c r="E9" i="12" s="1"/>
  <c r="E11" i="12" s="1"/>
  <c r="F7" i="26"/>
  <c r="F8" i="26"/>
  <c r="H8" i="21"/>
  <c r="G6" i="26"/>
  <c r="G5" i="28"/>
  <c r="G19" i="28" s="1"/>
  <c r="G5" i="10"/>
  <c r="G9" i="10" s="1"/>
  <c r="G8" i="11" s="1"/>
  <c r="G5" i="9"/>
  <c r="G9" i="9" s="1"/>
  <c r="G7" i="11" s="1"/>
  <c r="G5" i="8"/>
  <c r="G9" i="8" s="1"/>
  <c r="G6" i="11" s="1"/>
  <c r="G5" i="6"/>
  <c r="G5" i="7"/>
  <c r="G9" i="7" s="1"/>
  <c r="G5" i="11" s="1"/>
  <c r="F9" i="6"/>
  <c r="F6" i="12" s="1"/>
  <c r="O10" i="17" l="1"/>
  <c r="P10" i="17" s="1"/>
  <c r="R10" i="17" s="1"/>
  <c r="S10" i="17" s="1"/>
  <c r="G10" i="11"/>
  <c r="G5" i="12" s="1"/>
  <c r="E5" i="13"/>
  <c r="E19" i="13" s="1"/>
  <c r="G8" i="26"/>
  <c r="G7" i="26"/>
  <c r="I8" i="21"/>
  <c r="H6" i="26"/>
  <c r="H5" i="28"/>
  <c r="H19" i="28" s="1"/>
  <c r="H5" i="9"/>
  <c r="H9" i="9" s="1"/>
  <c r="H7" i="11" s="1"/>
  <c r="H5" i="10"/>
  <c r="H9" i="10" s="1"/>
  <c r="H8" i="11" s="1"/>
  <c r="H5" i="8"/>
  <c r="H9" i="8" s="1"/>
  <c r="H6" i="11" s="1"/>
  <c r="H5" i="7"/>
  <c r="H9" i="7" s="1"/>
  <c r="H5" i="11" s="1"/>
  <c r="H5" i="6"/>
  <c r="F9" i="12"/>
  <c r="G9" i="6"/>
  <c r="O11" i="17" l="1"/>
  <c r="P11" i="17" s="1"/>
  <c r="R11" i="17" s="1"/>
  <c r="S11" i="17" s="1"/>
  <c r="G6" i="12"/>
  <c r="G9" i="12" s="1"/>
  <c r="F5" i="13"/>
  <c r="F19" i="13" s="1"/>
  <c r="F20" i="13" s="1"/>
  <c r="F11" i="12"/>
  <c r="F12" i="12" s="1"/>
  <c r="E11" i="13"/>
  <c r="E5" i="14" s="1"/>
  <c r="E8" i="14" s="1"/>
  <c r="E9" i="26" s="1"/>
  <c r="E10" i="26" s="1"/>
  <c r="H10" i="11"/>
  <c r="H5" i="12" s="1"/>
  <c r="H8" i="26"/>
  <c r="H7" i="26"/>
  <c r="J8" i="21"/>
  <c r="I6" i="26"/>
  <c r="I5" i="28"/>
  <c r="I19" i="28" s="1"/>
  <c r="I5" i="6"/>
  <c r="I5" i="8"/>
  <c r="I9" i="8" s="1"/>
  <c r="I6" i="11" s="1"/>
  <c r="I5" i="9"/>
  <c r="I9" i="9" s="1"/>
  <c r="I7" i="11" s="1"/>
  <c r="I5" i="10"/>
  <c r="I9" i="10" s="1"/>
  <c r="I8" i="11" s="1"/>
  <c r="I5" i="7"/>
  <c r="I9" i="7" s="1"/>
  <c r="I5" i="11" s="1"/>
  <c r="H9" i="6"/>
  <c r="O12" i="17" l="1"/>
  <c r="P12" i="17" s="1"/>
  <c r="R12" i="17" s="1"/>
  <c r="S12" i="17" s="1"/>
  <c r="G5" i="13"/>
  <c r="G11" i="12"/>
  <c r="G12" i="12" s="1"/>
  <c r="H6" i="12"/>
  <c r="H9" i="12" s="1"/>
  <c r="E5" i="20"/>
  <c r="G6" i="20" s="1"/>
  <c r="G8" i="20" s="1"/>
  <c r="F11" i="13"/>
  <c r="F5" i="14" s="1"/>
  <c r="F8" i="14" s="1"/>
  <c r="F9" i="26" s="1"/>
  <c r="F10" i="26" s="1"/>
  <c r="I10" i="11"/>
  <c r="I5" i="12" s="1"/>
  <c r="I7" i="26"/>
  <c r="I8" i="26"/>
  <c r="K8" i="21"/>
  <c r="J6" i="26"/>
  <c r="J5" i="28"/>
  <c r="J19" i="28" s="1"/>
  <c r="J5" i="8"/>
  <c r="J9" i="8" s="1"/>
  <c r="J6" i="11" s="1"/>
  <c r="J5" i="10"/>
  <c r="J9" i="10" s="1"/>
  <c r="J8" i="11" s="1"/>
  <c r="J5" i="6"/>
  <c r="J5" i="9"/>
  <c r="J9" i="9" s="1"/>
  <c r="J7" i="11" s="1"/>
  <c r="J5" i="7"/>
  <c r="J9" i="7" s="1"/>
  <c r="J5" i="11" s="1"/>
  <c r="I9" i="6"/>
  <c r="I6" i="12" s="1"/>
  <c r="O13" i="17" l="1"/>
  <c r="P13" i="17" s="1"/>
  <c r="R13" i="17" s="1"/>
  <c r="S13" i="17" s="1"/>
  <c r="G11" i="13"/>
  <c r="G5" i="20" s="1"/>
  <c r="I6" i="20" s="1"/>
  <c r="I8" i="20" s="1"/>
  <c r="G19" i="13"/>
  <c r="G20" i="13" s="1"/>
  <c r="I9" i="12"/>
  <c r="I5" i="13" s="1"/>
  <c r="H5" i="13"/>
  <c r="H11" i="12"/>
  <c r="H12" i="12" s="1"/>
  <c r="F5" i="20"/>
  <c r="H6" i="20" s="1"/>
  <c r="H8" i="20" s="1"/>
  <c r="J10" i="11"/>
  <c r="J5" i="12" s="1"/>
  <c r="J7" i="26"/>
  <c r="J8" i="26"/>
  <c r="L8" i="21"/>
  <c r="K6" i="26"/>
  <c r="K5" i="28"/>
  <c r="K19" i="28" s="1"/>
  <c r="K5" i="9"/>
  <c r="K9" i="9" s="1"/>
  <c r="K7" i="11" s="1"/>
  <c r="K5" i="8"/>
  <c r="K9" i="8" s="1"/>
  <c r="K6" i="11" s="1"/>
  <c r="K5" i="7"/>
  <c r="K9" i="7" s="1"/>
  <c r="K5" i="11" s="1"/>
  <c r="K5" i="10"/>
  <c r="K9" i="10" s="1"/>
  <c r="K8" i="11" s="1"/>
  <c r="K5" i="6"/>
  <c r="J9" i="6"/>
  <c r="I11" i="12" l="1"/>
  <c r="O14" i="17"/>
  <c r="P14" i="17" s="1"/>
  <c r="R14" i="17" s="1"/>
  <c r="S14" i="17" s="1"/>
  <c r="G5" i="14"/>
  <c r="G8" i="14" s="1"/>
  <c r="G9" i="26" s="1"/>
  <c r="G10" i="26" s="1"/>
  <c r="I12" i="12"/>
  <c r="H11" i="13"/>
  <c r="H5" i="14" s="1"/>
  <c r="H8" i="14" s="1"/>
  <c r="H9" i="26" s="1"/>
  <c r="H10" i="26" s="1"/>
  <c r="H19" i="13"/>
  <c r="H20" i="13" s="1"/>
  <c r="I11" i="13"/>
  <c r="I5" i="20" s="1"/>
  <c r="K6" i="20" s="1"/>
  <c r="K8" i="20" s="1"/>
  <c r="I19" i="13"/>
  <c r="B15" i="15"/>
  <c r="J6" i="12"/>
  <c r="J9" i="12" s="1"/>
  <c r="K10" i="11"/>
  <c r="K5" i="12" s="1"/>
  <c r="K7" i="26"/>
  <c r="K8" i="26"/>
  <c r="M8" i="21"/>
  <c r="L6" i="26"/>
  <c r="L5" i="28"/>
  <c r="L19" i="28" s="1"/>
  <c r="L5" i="7"/>
  <c r="L9" i="7" s="1"/>
  <c r="L5" i="11" s="1"/>
  <c r="L5" i="10"/>
  <c r="L9" i="10" s="1"/>
  <c r="L8" i="11" s="1"/>
  <c r="L5" i="8"/>
  <c r="L9" i="8" s="1"/>
  <c r="L6" i="11" s="1"/>
  <c r="L5" i="9"/>
  <c r="L9" i="9" s="1"/>
  <c r="L7" i="11" s="1"/>
  <c r="L5" i="6"/>
  <c r="K9" i="6"/>
  <c r="I20" i="13" l="1"/>
  <c r="O15" i="17"/>
  <c r="P15" i="17" s="1"/>
  <c r="R15" i="17" s="1"/>
  <c r="S15" i="17" s="1"/>
  <c r="H5" i="20"/>
  <c r="J6" i="20" s="1"/>
  <c r="J8" i="20" s="1"/>
  <c r="I5" i="14"/>
  <c r="I8" i="14" s="1"/>
  <c r="I9" i="26" s="1"/>
  <c r="I10" i="26" s="1"/>
  <c r="C15" i="15"/>
  <c r="J5" i="13"/>
  <c r="J11" i="12"/>
  <c r="J12" i="12" s="1"/>
  <c r="K6" i="12"/>
  <c r="K9" i="12" s="1"/>
  <c r="L10" i="11"/>
  <c r="L5" i="12" s="1"/>
  <c r="L7" i="26"/>
  <c r="L8" i="26"/>
  <c r="N8" i="21"/>
  <c r="M6" i="26"/>
  <c r="M5" i="28"/>
  <c r="M19" i="28" s="1"/>
  <c r="M5" i="9"/>
  <c r="M9" i="9" s="1"/>
  <c r="M7" i="11" s="1"/>
  <c r="M5" i="10"/>
  <c r="M9" i="10" s="1"/>
  <c r="M8" i="11" s="1"/>
  <c r="M5" i="6"/>
  <c r="M5" i="7"/>
  <c r="M9" i="7" s="1"/>
  <c r="M5" i="11" s="1"/>
  <c r="M5" i="8"/>
  <c r="M9" i="8" s="1"/>
  <c r="M6" i="11" s="1"/>
  <c r="L9" i="6"/>
  <c r="O16" i="17" l="1"/>
  <c r="P16" i="17" s="1"/>
  <c r="R16" i="17" s="1"/>
  <c r="S16" i="17" s="1"/>
  <c r="D15" i="15"/>
  <c r="J11" i="13"/>
  <c r="J5" i="20" s="1"/>
  <c r="L6" i="20" s="1"/>
  <c r="L8" i="20" s="1"/>
  <c r="J19" i="13"/>
  <c r="J20" i="13" s="1"/>
  <c r="K5" i="13"/>
  <c r="K11" i="12"/>
  <c r="K12" i="12" s="1"/>
  <c r="L6" i="12"/>
  <c r="L9" i="12" s="1"/>
  <c r="M10" i="11"/>
  <c r="M5" i="12" s="1"/>
  <c r="M7" i="26"/>
  <c r="M8" i="26"/>
  <c r="O8" i="21"/>
  <c r="N6" i="26"/>
  <c r="N5" i="28"/>
  <c r="N19" i="28" s="1"/>
  <c r="N5" i="6"/>
  <c r="N5" i="8"/>
  <c r="N9" i="8" s="1"/>
  <c r="N6" i="11" s="1"/>
  <c r="N5" i="7"/>
  <c r="N9" i="7" s="1"/>
  <c r="N5" i="11" s="1"/>
  <c r="N5" i="9"/>
  <c r="N9" i="9" s="1"/>
  <c r="N7" i="11" s="1"/>
  <c r="N5" i="10"/>
  <c r="N9" i="10" s="1"/>
  <c r="N8" i="11" s="1"/>
  <c r="M9" i="6"/>
  <c r="J5" i="14" l="1"/>
  <c r="J8" i="14" s="1"/>
  <c r="J9" i="26" s="1"/>
  <c r="J10" i="26" s="1"/>
  <c r="O17" i="17"/>
  <c r="P17" i="17" s="1"/>
  <c r="R17" i="17" s="1"/>
  <c r="S17" i="17" s="1"/>
  <c r="K11" i="13"/>
  <c r="K19" i="13"/>
  <c r="K20" i="13" s="1"/>
  <c r="L5" i="13"/>
  <c r="L11" i="12"/>
  <c r="L12" i="12" s="1"/>
  <c r="M6" i="12"/>
  <c r="M9" i="12" s="1"/>
  <c r="K5" i="20"/>
  <c r="M6" i="20" s="1"/>
  <c r="M8" i="20" s="1"/>
  <c r="K5" i="14"/>
  <c r="K8" i="14" s="1"/>
  <c r="K9" i="26" s="1"/>
  <c r="K10" i="26" s="1"/>
  <c r="N10" i="11"/>
  <c r="N5" i="12" s="1"/>
  <c r="N7" i="26"/>
  <c r="N8" i="26"/>
  <c r="P8" i="21"/>
  <c r="O6" i="26"/>
  <c r="O5" i="28"/>
  <c r="O19" i="28" s="1"/>
  <c r="O5" i="7"/>
  <c r="O9" i="7" s="1"/>
  <c r="O5" i="11" s="1"/>
  <c r="O5" i="10"/>
  <c r="O9" i="10" s="1"/>
  <c r="O8" i="11" s="1"/>
  <c r="O5" i="6"/>
  <c r="O5" i="8"/>
  <c r="O9" i="8" s="1"/>
  <c r="O6" i="11" s="1"/>
  <c r="O5" i="9"/>
  <c r="O9" i="9" s="1"/>
  <c r="O7" i="11" s="1"/>
  <c r="N9" i="6"/>
  <c r="N6" i="12" s="1"/>
  <c r="O18" i="17" l="1"/>
  <c r="P18" i="17" s="1"/>
  <c r="R18" i="17" s="1"/>
  <c r="S18" i="17" s="1"/>
  <c r="L11" i="13"/>
  <c r="L5" i="14" s="1"/>
  <c r="L8" i="14" s="1"/>
  <c r="L9" i="26" s="1"/>
  <c r="L10" i="26" s="1"/>
  <c r="L19" i="13"/>
  <c r="L20" i="13" s="1"/>
  <c r="M5" i="13"/>
  <c r="M11" i="12"/>
  <c r="M12" i="12" s="1"/>
  <c r="N9" i="12"/>
  <c r="N11" i="12" s="1"/>
  <c r="O10" i="11"/>
  <c r="O5" i="12" s="1"/>
  <c r="O7" i="26"/>
  <c r="O8" i="26"/>
  <c r="Q8" i="21"/>
  <c r="P6" i="26"/>
  <c r="P5" i="28"/>
  <c r="P19" i="28" s="1"/>
  <c r="P5" i="7"/>
  <c r="P9" i="7" s="1"/>
  <c r="P5" i="11" s="1"/>
  <c r="P5" i="6"/>
  <c r="P5" i="8"/>
  <c r="P9" i="8" s="1"/>
  <c r="P6" i="11" s="1"/>
  <c r="P5" i="9"/>
  <c r="P9" i="9" s="1"/>
  <c r="P7" i="11" s="1"/>
  <c r="P5" i="10"/>
  <c r="P9" i="10" s="1"/>
  <c r="P8" i="11" s="1"/>
  <c r="O9" i="6"/>
  <c r="N12" i="12" l="1"/>
  <c r="O19" i="17"/>
  <c r="P19" i="17" s="1"/>
  <c r="R19" i="17" s="1"/>
  <c r="S19" i="17" s="1"/>
  <c r="L5" i="20"/>
  <c r="N6" i="20" s="1"/>
  <c r="N8" i="20" s="1"/>
  <c r="M11" i="13"/>
  <c r="M5" i="14" s="1"/>
  <c r="M8" i="14" s="1"/>
  <c r="M9" i="26" s="1"/>
  <c r="M10" i="26" s="1"/>
  <c r="M19" i="13"/>
  <c r="M20" i="13" s="1"/>
  <c r="N5" i="13"/>
  <c r="N19" i="13" s="1"/>
  <c r="B16" i="15"/>
  <c r="O6" i="12"/>
  <c r="O9" i="12" s="1"/>
  <c r="P10" i="11"/>
  <c r="P5" i="12" s="1"/>
  <c r="P7" i="26"/>
  <c r="P8" i="26"/>
  <c r="R8" i="21"/>
  <c r="Q6" i="26"/>
  <c r="Q5" i="28"/>
  <c r="Q19" i="28" s="1"/>
  <c r="Q5" i="7"/>
  <c r="Q9" i="7" s="1"/>
  <c r="Q5" i="11" s="1"/>
  <c r="Q5" i="8"/>
  <c r="Q9" i="8" s="1"/>
  <c r="Q6" i="11" s="1"/>
  <c r="Q5" i="9"/>
  <c r="Q9" i="9" s="1"/>
  <c r="Q7" i="11" s="1"/>
  <c r="Q5" i="6"/>
  <c r="Q5" i="10"/>
  <c r="Q9" i="10" s="1"/>
  <c r="Q8" i="11" s="1"/>
  <c r="P9" i="6"/>
  <c r="P6" i="12" s="1"/>
  <c r="O20" i="17" l="1"/>
  <c r="P20" i="17" s="1"/>
  <c r="R20" i="17" s="1"/>
  <c r="S20" i="17" s="1"/>
  <c r="N20" i="13"/>
  <c r="M5" i="20"/>
  <c r="O6" i="20" s="1"/>
  <c r="O8" i="20" s="1"/>
  <c r="N11" i="13"/>
  <c r="N5" i="20" s="1"/>
  <c r="P6" i="20" s="1"/>
  <c r="P8" i="20" s="1"/>
  <c r="O5" i="13"/>
  <c r="O11" i="12"/>
  <c r="O12" i="12" s="1"/>
  <c r="P9" i="12"/>
  <c r="Q10" i="11"/>
  <c r="Q5" i="12" s="1"/>
  <c r="Q8" i="26"/>
  <c r="Q7" i="26"/>
  <c r="S8" i="21"/>
  <c r="R6" i="26"/>
  <c r="R5" i="28"/>
  <c r="R19" i="28" s="1"/>
  <c r="R5" i="6"/>
  <c r="R5" i="7"/>
  <c r="R9" i="7" s="1"/>
  <c r="R5" i="11" s="1"/>
  <c r="R5" i="8"/>
  <c r="R9" i="8" s="1"/>
  <c r="R6" i="11" s="1"/>
  <c r="R5" i="9"/>
  <c r="R9" i="9" s="1"/>
  <c r="R7" i="11" s="1"/>
  <c r="R5" i="10"/>
  <c r="R9" i="10" s="1"/>
  <c r="R8" i="11" s="1"/>
  <c r="Q9" i="6"/>
  <c r="N5" i="14" l="1"/>
  <c r="N8" i="14" s="1"/>
  <c r="N9" i="26" s="1"/>
  <c r="N10" i="26" s="1"/>
  <c r="C16" i="15"/>
  <c r="O21" i="17"/>
  <c r="P21" i="17" s="1"/>
  <c r="R21" i="17" s="1"/>
  <c r="S21" i="17" s="1"/>
  <c r="D16" i="15"/>
  <c r="O11" i="13"/>
  <c r="O19" i="13"/>
  <c r="O20" i="13" s="1"/>
  <c r="Q6" i="12"/>
  <c r="Q9" i="12" s="1"/>
  <c r="P5" i="13"/>
  <c r="P11" i="12"/>
  <c r="P12" i="12" s="1"/>
  <c r="R10" i="11"/>
  <c r="R5" i="12" s="1"/>
  <c r="R7" i="26"/>
  <c r="R8" i="26"/>
  <c r="T8" i="21"/>
  <c r="S6" i="26"/>
  <c r="S5" i="28"/>
  <c r="S19" i="28" s="1"/>
  <c r="S5" i="7"/>
  <c r="S9" i="7" s="1"/>
  <c r="S5" i="11" s="1"/>
  <c r="S5" i="8"/>
  <c r="S9" i="8" s="1"/>
  <c r="S6" i="11" s="1"/>
  <c r="S5" i="6"/>
  <c r="S5" i="9"/>
  <c r="S9" i="9" s="1"/>
  <c r="S7" i="11" s="1"/>
  <c r="S5" i="10"/>
  <c r="S9" i="10" s="1"/>
  <c r="S8" i="11" s="1"/>
  <c r="R9" i="6"/>
  <c r="O22" i="17" l="1"/>
  <c r="P22" i="17" s="1"/>
  <c r="R22" i="17" s="1"/>
  <c r="S22" i="17" s="1"/>
  <c r="P11" i="13"/>
  <c r="P19" i="13"/>
  <c r="P20" i="13" s="1"/>
  <c r="O5" i="14"/>
  <c r="O8" i="14" s="1"/>
  <c r="O9" i="26" s="1"/>
  <c r="O10" i="26" s="1"/>
  <c r="O5" i="20"/>
  <c r="Q6" i="20" s="1"/>
  <c r="Q8" i="20" s="1"/>
  <c r="Q5" i="13"/>
  <c r="Q11" i="12"/>
  <c r="Q12" i="12" s="1"/>
  <c r="R6" i="12"/>
  <c r="R9" i="12" s="1"/>
  <c r="P5" i="20"/>
  <c r="R6" i="20" s="1"/>
  <c r="R8" i="20" s="1"/>
  <c r="P5" i="14"/>
  <c r="P8" i="14" s="1"/>
  <c r="P9" i="26" s="1"/>
  <c r="P10" i="26" s="1"/>
  <c r="S10" i="11"/>
  <c r="S5" i="12" s="1"/>
  <c r="S7" i="26"/>
  <c r="S8" i="26"/>
  <c r="U8" i="21"/>
  <c r="T6" i="26"/>
  <c r="T5" i="28"/>
  <c r="T19" i="28" s="1"/>
  <c r="T5" i="6"/>
  <c r="T5" i="9"/>
  <c r="T9" i="9" s="1"/>
  <c r="T7" i="11" s="1"/>
  <c r="T5" i="7"/>
  <c r="T9" i="7" s="1"/>
  <c r="T5" i="11" s="1"/>
  <c r="T5" i="10"/>
  <c r="T9" i="10" s="1"/>
  <c r="T8" i="11" s="1"/>
  <c r="T5" i="8"/>
  <c r="T9" i="8" s="1"/>
  <c r="T6" i="11" s="1"/>
  <c r="S9" i="6"/>
  <c r="S6" i="12" s="1"/>
  <c r="O23" i="17" l="1"/>
  <c r="P23" i="17" s="1"/>
  <c r="R23" i="17" s="1"/>
  <c r="S23" i="17" s="1"/>
  <c r="Q11" i="13"/>
  <c r="Q5" i="20" s="1"/>
  <c r="S6" i="20" s="1"/>
  <c r="S8" i="20" s="1"/>
  <c r="Q19" i="13"/>
  <c r="Q20" i="13" s="1"/>
  <c r="R5" i="13"/>
  <c r="R11" i="12"/>
  <c r="R12" i="12" s="1"/>
  <c r="S9" i="12"/>
  <c r="S11" i="12" s="1"/>
  <c r="T10" i="11"/>
  <c r="T5" i="12" s="1"/>
  <c r="T7" i="26"/>
  <c r="T8" i="26"/>
  <c r="V8" i="21"/>
  <c r="U6" i="26"/>
  <c r="U5" i="28"/>
  <c r="U19" i="28" s="1"/>
  <c r="U5" i="7"/>
  <c r="U9" i="7" s="1"/>
  <c r="U5" i="11" s="1"/>
  <c r="U5" i="6"/>
  <c r="U5" i="9"/>
  <c r="U9" i="9" s="1"/>
  <c r="U7" i="11" s="1"/>
  <c r="U5" i="8"/>
  <c r="U9" i="8" s="1"/>
  <c r="U6" i="11" s="1"/>
  <c r="U5" i="10"/>
  <c r="U9" i="10" s="1"/>
  <c r="U8" i="11" s="1"/>
  <c r="T9" i="6"/>
  <c r="S12" i="12" l="1"/>
  <c r="Q5" i="14"/>
  <c r="Q8" i="14" s="1"/>
  <c r="Q9" i="26" s="1"/>
  <c r="Q10" i="26" s="1"/>
  <c r="S5" i="13"/>
  <c r="B17" i="15"/>
  <c r="O24" i="17"/>
  <c r="P24" i="17" s="1"/>
  <c r="R24" i="17" s="1"/>
  <c r="S24" i="17" s="1"/>
  <c r="O25" i="17"/>
  <c r="P25" i="17" s="1"/>
  <c r="R25" i="17" s="1"/>
  <c r="S11" i="13"/>
  <c r="C17" i="15" s="1"/>
  <c r="S19" i="13"/>
  <c r="R11" i="13"/>
  <c r="R5" i="14" s="1"/>
  <c r="R8" i="14" s="1"/>
  <c r="R9" i="26" s="1"/>
  <c r="R10" i="26" s="1"/>
  <c r="R19" i="13"/>
  <c r="R20" i="13" s="1"/>
  <c r="T6" i="12"/>
  <c r="T9" i="12" s="1"/>
  <c r="U10" i="11"/>
  <c r="U5" i="12" s="1"/>
  <c r="U8" i="26"/>
  <c r="U7" i="26"/>
  <c r="W8" i="21"/>
  <c r="V6" i="26"/>
  <c r="V5" i="28"/>
  <c r="V19" i="28" s="1"/>
  <c r="V5" i="9"/>
  <c r="V9" i="9" s="1"/>
  <c r="V7" i="11" s="1"/>
  <c r="V5" i="6"/>
  <c r="V5" i="10"/>
  <c r="V9" i="10" s="1"/>
  <c r="V8" i="11" s="1"/>
  <c r="V5" i="7"/>
  <c r="V9" i="7" s="1"/>
  <c r="V5" i="11" s="1"/>
  <c r="V5" i="8"/>
  <c r="V9" i="8" s="1"/>
  <c r="V6" i="11" s="1"/>
  <c r="U9" i="6"/>
  <c r="R5" i="20" l="1"/>
  <c r="T6" i="20" s="1"/>
  <c r="T8" i="20" s="1"/>
  <c r="S5" i="20"/>
  <c r="U6" i="20" s="1"/>
  <c r="U8" i="20" s="1"/>
  <c r="S25" i="17"/>
  <c r="S5" i="14"/>
  <c r="S8" i="14" s="1"/>
  <c r="S20" i="13"/>
  <c r="T5" i="13"/>
  <c r="T11" i="12"/>
  <c r="T12" i="12" s="1"/>
  <c r="U6" i="12"/>
  <c r="U9" i="12" s="1"/>
  <c r="V10" i="11"/>
  <c r="V5" i="12" s="1"/>
  <c r="V7" i="26"/>
  <c r="V8" i="26"/>
  <c r="X8" i="21"/>
  <c r="W6" i="26"/>
  <c r="W5" i="28"/>
  <c r="W19" i="28" s="1"/>
  <c r="W5" i="8"/>
  <c r="W9" i="8" s="1"/>
  <c r="W6" i="11" s="1"/>
  <c r="W5" i="9"/>
  <c r="W9" i="9" s="1"/>
  <c r="W7" i="11" s="1"/>
  <c r="W5" i="10"/>
  <c r="W9" i="10" s="1"/>
  <c r="W8" i="11" s="1"/>
  <c r="W5" i="6"/>
  <c r="W5" i="7"/>
  <c r="W9" i="7" s="1"/>
  <c r="W5" i="11" s="1"/>
  <c r="D17" i="15"/>
  <c r="S9" i="26"/>
  <c r="S10" i="26" s="1"/>
  <c r="V9" i="6"/>
  <c r="T11" i="13" l="1"/>
  <c r="T19" i="13"/>
  <c r="T20" i="13" s="1"/>
  <c r="W10" i="11"/>
  <c r="W5" i="12" s="1"/>
  <c r="V6" i="12"/>
  <c r="V9" i="12" s="1"/>
  <c r="U5" i="13"/>
  <c r="U11" i="12"/>
  <c r="U12" i="12" s="1"/>
  <c r="W7" i="26"/>
  <c r="W8" i="26"/>
  <c r="B4" i="15"/>
  <c r="X6" i="26"/>
  <c r="X5" i="28"/>
  <c r="X19" i="28" s="1"/>
  <c r="X5" i="9"/>
  <c r="X9" i="9" s="1"/>
  <c r="X7" i="11" s="1"/>
  <c r="X5" i="8"/>
  <c r="X9" i="8" s="1"/>
  <c r="X6" i="11" s="1"/>
  <c r="X5" i="10"/>
  <c r="X9" i="10" s="1"/>
  <c r="X8" i="11" s="1"/>
  <c r="X5" i="6"/>
  <c r="X9" i="6" s="1"/>
  <c r="X6" i="12" s="1"/>
  <c r="X5" i="7"/>
  <c r="X9" i="7" s="1"/>
  <c r="X5" i="11" s="1"/>
  <c r="W9" i="6"/>
  <c r="U11" i="13" l="1"/>
  <c r="U5" i="14" s="1"/>
  <c r="U8" i="14" s="1"/>
  <c r="U9" i="26" s="1"/>
  <c r="U10" i="26" s="1"/>
  <c r="U19" i="13"/>
  <c r="U20" i="13" s="1"/>
  <c r="T5" i="20"/>
  <c r="V6" i="20" s="1"/>
  <c r="V8" i="20" s="1"/>
  <c r="T5" i="14"/>
  <c r="T8" i="14" s="1"/>
  <c r="T9" i="26" s="1"/>
  <c r="T10" i="26" s="1"/>
  <c r="V5" i="13"/>
  <c r="V11" i="12"/>
  <c r="V12" i="12" s="1"/>
  <c r="W6" i="12"/>
  <c r="W9" i="12" s="1"/>
  <c r="X10" i="11"/>
  <c r="X5" i="12" s="1"/>
  <c r="X9" i="12" s="1"/>
  <c r="X8" i="26"/>
  <c r="X7" i="26"/>
  <c r="U5" i="20" l="1"/>
  <c r="W6" i="20" s="1"/>
  <c r="W8" i="20" s="1"/>
  <c r="X5" i="13"/>
  <c r="X19" i="13" s="1"/>
  <c r="B18" i="15"/>
  <c r="V11" i="13"/>
  <c r="V5" i="14" s="1"/>
  <c r="V8" i="14" s="1"/>
  <c r="V9" i="26" s="1"/>
  <c r="V10" i="26" s="1"/>
  <c r="V19" i="13"/>
  <c r="V20" i="13" s="1"/>
  <c r="W5" i="13"/>
  <c r="W11" i="12"/>
  <c r="W12" i="12" s="1"/>
  <c r="X11" i="12"/>
  <c r="V5" i="20"/>
  <c r="X6" i="20" s="1"/>
  <c r="X8" i="20" s="1"/>
  <c r="X12" i="12" l="1"/>
  <c r="W11" i="13"/>
  <c r="W5" i="14" s="1"/>
  <c r="W8" i="14" s="1"/>
  <c r="W9" i="26" s="1"/>
  <c r="W10" i="26" s="1"/>
  <c r="W19" i="13"/>
  <c r="W20" i="13" s="1"/>
  <c r="X11" i="13"/>
  <c r="B22" i="15" s="1"/>
  <c r="M3" i="33" s="1"/>
  <c r="W5" i="20" l="1"/>
  <c r="Y6" i="20" s="1"/>
  <c r="Y8" i="20" s="1"/>
  <c r="X20" i="13"/>
  <c r="X5" i="14"/>
  <c r="X8" i="14" s="1"/>
  <c r="D18" i="15" s="1"/>
  <c r="X5" i="20"/>
  <c r="Z6" i="20" s="1"/>
  <c r="Z8" i="20" s="1"/>
  <c r="AA8" i="20" s="1"/>
  <c r="C18" i="15"/>
  <c r="B23" i="15"/>
  <c r="D10" i="21" s="1"/>
  <c r="X9" i="26" l="1"/>
  <c r="X10" i="26" s="1"/>
  <c r="D10" i="26"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tc={BB1D5C6B-2BA0-41B5-B55D-47DBD257DEAC}</author>
    <author>tc={29CE7E2D-1758-4C68-ACD1-D79C2299A336}</author>
  </authors>
  <commentList>
    <comment ref="B10" authorId="0" shapeId="0" xr:uid="{BB1D5C6B-2BA0-41B5-B55D-47DBD257DEAC}">
      <text>
        <t>[Threaded comment]
Your version of Excel allows you to read this threaded comment; however, any edits to it will get removed if the file is opened in a newer version of Excel. Learn more: https://go.microsoft.com/fwlink/?linkid=870924
Comment:
    This cell does not have any dependents
Reply:
    Indeed, because actually this is not an input but an (impact measure) calculation. I added it as a metric in the Impact Tab</t>
      </text>
    </comment>
    <comment ref="B19" authorId="1" shapeId="0" xr:uid="{29CE7E2D-1758-4C68-ACD1-D79C2299A336}">
      <text>
        <t>[Threaded comment]
Your version of Excel allows you to read this threaded comment; however, any edits to it will get removed if the file is opened in a newer version of Excel. Learn more: https://go.microsoft.com/fwlink/?linkid=870924
Comment:
    X2 for both sides?
Reply:
    No, that would double it</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Adriaan Mol</author>
  </authors>
  <commentList>
    <comment ref="E2" authorId="0" shapeId="0" xr:uid="{E4D85EDD-DF88-49F3-A5A4-2286CC22B0C0}">
      <text>
        <r>
          <rPr>
            <b/>
            <sz val="9"/>
            <color indexed="81"/>
            <rFont val="Tahoma"/>
            <charset val="1"/>
          </rPr>
          <t>Adriaan Mol:</t>
        </r>
        <r>
          <rPr>
            <sz val="9"/>
            <color indexed="81"/>
            <rFont val="Tahoma"/>
            <charset val="1"/>
          </rPr>
          <t xml:space="preserve">
From Assumptions!B27</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tc={91233E4C-38F9-40A8-81CA-CFFAF2E3D2A6}</author>
  </authors>
  <commentList>
    <comment ref="K5" authorId="0" shapeId="0" xr:uid="{91233E4C-38F9-40A8-81CA-CFFAF2E3D2A6}">
      <text>
        <t>[Threaded comment]
Your version of Excel allows you to read this threaded comment; however, any edits to it will get removed if the file is opened in a newer version of Excel. Learn more: https://go.microsoft.com/fwlink/?linkid=870924
Comment:
    Is there an upper limit on sequestration capacity?
Reply:
    Probably. 
This sheet is the  most important underlying assumption - and also the hardest to validate. I have been unable to identify solid references for biomass growth for (this type of) bamboo and the numbers here are the best guess from internet and AI research, and discussion with Lucas (of Domaine de la Cascade). I need to find a way to validate this thoroughly (but am struggling to work out  how).
Reply:
    https://news.mongabay.com/2023/07/villagers-turn-to-charcoal-made-of-bamboo-to-save-a-madagascar-forest/ This source states up to 392 tCO2e/ha. But by that we would cap growth from yr12. Is Lucas able to falsify this?
Reply:
    Primary source: https://www.inbar.int/wp-content/uploads/2023/05/BRU-4-1_FR-LUTTER-CONTRE-LE-CHANGEMENT-CLIMATIQUE-AVEC-LE-BAMBOU.pdf
Reply:
    Thanks @James Walker - SaniTap Carbon Lead  Our model calculates ~40 tCO2e per hectare which is very close to the 49 tons mentioned in the INBAR document for an unmanaged plantation (albeit another species). Given the thickness of balcoa this is probably quite conservative.</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Adriaan Mol</author>
    <author>tc={FA56E354-1AF3-406F-B3E1-69A788E39C11}</author>
  </authors>
  <commentList>
    <comment ref="U11" authorId="0" shapeId="0" xr:uid="{ECA08209-176B-4DC4-82A0-D314A7C2215A}">
      <text>
        <r>
          <rPr>
            <b/>
            <sz val="9"/>
            <color indexed="81"/>
            <rFont val="Tahoma"/>
            <family val="2"/>
          </rPr>
          <t>Adriaan Mol:</t>
        </r>
        <r>
          <rPr>
            <sz val="9"/>
            <color indexed="81"/>
            <rFont val="Tahoma"/>
            <family val="2"/>
          </rPr>
          <t xml:space="preserve">
Why does this total start dropping??
</t>
        </r>
      </text>
    </comment>
    <comment ref="U12" authorId="1" shapeId="0" xr:uid="{FA56E354-1AF3-406F-B3E1-69A788E39C11}">
      <text>
        <t xml:space="preserve">[Threaded comment]
Your version of Excel allows you to read this threaded comment; however, any edits to it will get removed if the file is opened in a newer version of Excel. Learn more: https://go.microsoft.com/fwlink/?linkid=870924
Comment:
    Drops due to ‘Biomass’ B21:25 - growth starts to slow 
@Adriaan  Mol - SaniTap 
Reply:
    Ah, yes, but then why is Year 20 so huge?
Reply:
    The number in row 11 is calculated as per the percentage applied in row 18 and then deducts the prior year net annual CO2 reductions - ie its only the change in removal which can be claimed.
Reply:
    Not also decreases in year  6, 9, 12,
</t>
      </text>
    </comment>
  </commentList>
</comments>
</file>

<file path=xl/sharedStrings.xml><?xml version="1.0" encoding="utf-8"?>
<sst xmlns="http://schemas.openxmlformats.org/spreadsheetml/2006/main" count="1277" uniqueCount="486">
  <si>
    <t>VM0047 Area-based ARR Equation Summary</t>
  </si>
  <si>
    <t>Equation</t>
  </si>
  <si>
    <t>Tab Name</t>
  </si>
  <si>
    <t>Description</t>
  </si>
  <si>
    <t>Dependencies</t>
  </si>
  <si>
    <t>Status</t>
  </si>
  <si>
    <t>Eq4</t>
  </si>
  <si>
    <t>Eq4_CWP_woody</t>
  </si>
  <si>
    <t>Total woody biomass carbon per hectare</t>
  </si>
  <si>
    <t>None</t>
  </si>
  <si>
    <t>Base calculation</t>
  </si>
  <si>
    <t>Eq6</t>
  </si>
  <si>
    <t>Eq6_CWP_herb</t>
  </si>
  <si>
    <t>Non-woody biomass carbon per hectare</t>
  </si>
  <si>
    <t>Eq8</t>
  </si>
  <si>
    <t>Eq8_CWP_DW</t>
  </si>
  <si>
    <t>Dead wood carbon per hectare</t>
  </si>
  <si>
    <t>Eq10</t>
  </si>
  <si>
    <t>Eq10_CWP_LI</t>
  </si>
  <si>
    <t>Litter carbon per hectare</t>
  </si>
  <si>
    <t>Eq11</t>
  </si>
  <si>
    <t>Eq11_Delta_SOC</t>
  </si>
  <si>
    <t>Soil organic carbon change</t>
  </si>
  <si>
    <t>Eq3</t>
  </si>
  <si>
    <t>Eq3_Delta_woody</t>
  </si>
  <si>
    <t>Woody biomass carbon change</t>
  </si>
  <si>
    <t>Links to Eq4</t>
  </si>
  <si>
    <t>Eq5</t>
  </si>
  <si>
    <t>Eq5_Delta_herb</t>
  </si>
  <si>
    <t>Non-woody biomass carbon change</t>
  </si>
  <si>
    <t>Links to Eq6</t>
  </si>
  <si>
    <t>Eq7</t>
  </si>
  <si>
    <t>Eq7_Delta_DW</t>
  </si>
  <si>
    <t>Dead wood carbon change</t>
  </si>
  <si>
    <t>Links to Eq8</t>
  </si>
  <si>
    <t>Eq9</t>
  </si>
  <si>
    <t>Eq9_Delta_LI</t>
  </si>
  <si>
    <t>Litter carbon change</t>
  </si>
  <si>
    <t>Links to Eq10</t>
  </si>
  <si>
    <t>Eq2</t>
  </si>
  <si>
    <t>Eq2_Delta_biomass</t>
  </si>
  <si>
    <t>Total biomass carbon change</t>
  </si>
  <si>
    <t>Eq3,5,7,9</t>
  </si>
  <si>
    <t>Aggregates all pools</t>
  </si>
  <si>
    <t>Eq1</t>
  </si>
  <si>
    <t>Eq1_Project_total</t>
  </si>
  <si>
    <r>
      <t>Project carbon change (CO</t>
    </r>
    <r>
      <rPr>
        <vertAlign val="subscript"/>
        <sz val="11"/>
        <color theme="1"/>
        <rFont val="Calibri"/>
        <family val="2"/>
        <scheme val="minor"/>
      </rPr>
      <t>2</t>
    </r>
    <r>
      <rPr>
        <sz val="11"/>
        <color theme="1"/>
        <rFont val="Calibri"/>
        <family val="2"/>
        <scheme val="minor"/>
      </rPr>
      <t>e)</t>
    </r>
  </si>
  <si>
    <t>Eq2,11</t>
  </si>
  <si>
    <t>Main project calculation</t>
  </si>
  <si>
    <t>Eq30</t>
  </si>
  <si>
    <t>Eq30_Carbon_removals</t>
  </si>
  <si>
    <t>Net carbon removals</t>
  </si>
  <si>
    <t>Final creditable amount</t>
  </si>
  <si>
    <t>Eq34</t>
  </si>
  <si>
    <t>Eq34_Annualized</t>
  </si>
  <si>
    <t>Annualized removals</t>
  </si>
  <si>
    <t>Per year basis</t>
  </si>
  <si>
    <t>Notes:</t>
  </si>
  <si>
    <t>Blue cells: inputs &amp; variables. Edit</t>
  </si>
  <si>
    <t>Orange cells: calculations or inputs from other tabs. Do not edit</t>
  </si>
  <si>
    <t>Green cells: equation output from calculation</t>
  </si>
  <si>
    <t>Additional Notes</t>
  </si>
  <si>
    <t>* Leakage (GHGLK,t): Set to 0. For area-based projects, VMD0054 module must be applied if there's displacement of agricultural activities (e.g., if riparian planting displaces farming). Your project protects agricultural fields (10:1 ratio), so leakage might be minimal, but it needs justification and calculation if applicable.
* Uncertainty and Buffer Pool: No deduction for uncertainty (required if &gt;5% per Section 9) or contribution to VCS buffer pool (via VMD0055 risk tool for non-permanence).
* Monitoring and Data Sources: Assumes values (e.g., biomass growth from literature). VM0047 mandates ex-ante estimates but ex-post monitoring via remote sensing (for SI) and permanent plots (for pools). No sheet for monitoring plan or error propagation.
* Additionality: Relies on PB &gt;0, but no full demonstration (e.g., project method for barriers if needed).
* Reversals and Reversibility: No accounting for potential losses (e.g., flooding in riparian zones).
* Bamboo-Specific Guidelines: VM0047 doesn't have bamboo-specific rules, but your assumptions (e.g., culms/clump growth, allelopathy reducing understory) are reasonable from literature. However, bamboo's rhizomatous growth requires clumped sampling in plots.
* V1.1 Updates: The Excel seems based on v1.0 (e.g., no mention of forested land eligibility or offsite biomass removal). Update to v1.1 clarifications (e.g., remote sensing for pre-existing biomass).</t>
  </si>
  <si>
    <t>VM0047 Project Summary - 1000 ha Bambusa balcooa</t>
  </si>
  <si>
    <t>Key Project Metrics</t>
  </si>
  <si>
    <t>Project Area:</t>
  </si>
  <si>
    <t>hectare</t>
  </si>
  <si>
    <t>Species:</t>
  </si>
  <si>
    <t>Bambusa balcooa</t>
  </si>
  <si>
    <t>Project Duration:</t>
  </si>
  <si>
    <t>years</t>
  </si>
  <si>
    <t>Planting Density:</t>
  </si>
  <si>
    <t>plants/ha</t>
  </si>
  <si>
    <t>Carbon Fraction (CF):</t>
  </si>
  <si>
    <t>Root:Shoot Ratio (R):</t>
  </si>
  <si>
    <t>SOC Accumulation:</t>
  </si>
  <si>
    <t>0.5 t C/ha/year</t>
  </si>
  <si>
    <t>tC/ha/year</t>
  </si>
  <si>
    <t>Key Results by Year</t>
  </si>
  <si>
    <t>Year</t>
  </si>
  <si>
    <r>
      <t>Gross CO</t>
    </r>
    <r>
      <rPr>
        <b/>
        <vertAlign val="subscript"/>
        <sz val="11"/>
        <rFont val="Calibri"/>
        <family val="2"/>
      </rPr>
      <t>2</t>
    </r>
    <r>
      <rPr>
        <b/>
        <sz val="11"/>
        <rFont val="Calibri"/>
        <family val="2"/>
      </rPr>
      <t>e (t)</t>
    </r>
  </si>
  <si>
    <r>
      <t>Net CO</t>
    </r>
    <r>
      <rPr>
        <b/>
        <vertAlign val="subscript"/>
        <sz val="11"/>
        <rFont val="Calibri"/>
        <family val="2"/>
      </rPr>
      <t>2</t>
    </r>
    <r>
      <rPr>
        <b/>
        <sz val="11"/>
        <rFont val="Calibri"/>
        <family val="2"/>
      </rPr>
      <t>e (t)</t>
    </r>
  </si>
  <si>
    <t>Annual Rate (t/ha/year)</t>
  </si>
  <si>
    <t>20-Year Project Totals</t>
  </si>
  <si>
    <r>
      <t>Total Net CO</t>
    </r>
    <r>
      <rPr>
        <vertAlign val="subscript"/>
        <sz val="11"/>
        <color theme="1"/>
        <rFont val="Calibri"/>
        <family val="2"/>
        <scheme val="minor"/>
      </rPr>
      <t>2</t>
    </r>
    <r>
      <rPr>
        <sz val="11"/>
        <color theme="1"/>
        <rFont val="Calibri"/>
        <family val="2"/>
        <scheme val="minor"/>
      </rPr>
      <t>e Removed:</t>
    </r>
  </si>
  <si>
    <t>Average Annual Rate:</t>
  </si>
  <si>
    <t>Assumptions</t>
  </si>
  <si>
    <t>Variable</t>
  </si>
  <si>
    <t>Value</t>
  </si>
  <si>
    <t>Parameter</t>
  </si>
  <si>
    <t>Notes</t>
  </si>
  <si>
    <t>Year 1</t>
  </si>
  <si>
    <t>Year 2</t>
  </si>
  <si>
    <t>Year 3</t>
  </si>
  <si>
    <t>Year 4</t>
  </si>
  <si>
    <t>Year 5</t>
  </si>
  <si>
    <t>Year 6</t>
  </si>
  <si>
    <t>Year 7</t>
  </si>
  <si>
    <t>Year 8</t>
  </si>
  <si>
    <t>Year 9</t>
  </si>
  <si>
    <t>Year 10</t>
  </si>
  <si>
    <t>Year 11</t>
  </si>
  <si>
    <t>Year 12</t>
  </si>
  <si>
    <t>Year 13</t>
  </si>
  <si>
    <t>Year 14</t>
  </si>
  <si>
    <t>Year 15</t>
  </si>
  <si>
    <t>Year 16</t>
  </si>
  <si>
    <t>Year 17</t>
  </si>
  <si>
    <t>Year 18</t>
  </si>
  <si>
    <t>Year 19</t>
  </si>
  <si>
    <t>Year 20</t>
  </si>
  <si>
    <t>Width of riparian planting zone, meters</t>
  </si>
  <si>
    <t>Hectare equivalent of 1 km planting zone</t>
  </si>
  <si>
    <t>Length of river banks newly planted, kms (both sides)</t>
  </si>
  <si>
    <t>Plantation Size (ha)</t>
  </si>
  <si>
    <t>New hectares planted</t>
  </si>
  <si>
    <r>
      <t>Carbon Credits per ha per year (tCO</t>
    </r>
    <r>
      <rPr>
        <vertAlign val="subscript"/>
        <sz val="11"/>
        <color theme="1"/>
        <rFont val="Calibri"/>
        <family val="2"/>
        <scheme val="minor"/>
      </rPr>
      <t>2</t>
    </r>
    <r>
      <rPr>
        <sz val="11"/>
        <color theme="1"/>
        <rFont val="Calibri"/>
        <family val="2"/>
        <scheme val="minor"/>
      </rPr>
      <t>e)</t>
    </r>
  </si>
  <si>
    <r>
      <t>Carbon Price (USD/tCO</t>
    </r>
    <r>
      <rPr>
        <vertAlign val="subscript"/>
        <sz val="11"/>
        <color theme="1"/>
        <rFont val="Calibri"/>
        <family val="2"/>
        <scheme val="minor"/>
      </rPr>
      <t>2</t>
    </r>
    <r>
      <rPr>
        <sz val="11"/>
        <color theme="1"/>
        <rFont val="Calibri"/>
        <family val="2"/>
        <scheme val="minor"/>
      </rPr>
      <t>e)</t>
    </r>
  </si>
  <si>
    <t>% annual carbon price increment</t>
  </si>
  <si>
    <t>Project Duration (years)</t>
  </si>
  <si>
    <t>Discount Rate</t>
  </si>
  <si>
    <t>Start Year of Carbon Revenue</t>
  </si>
  <si>
    <t>Planting Density, seedlings per ha</t>
  </si>
  <si>
    <t>EcoPlanet Bamboo uses 400 per ha</t>
  </si>
  <si>
    <t>Seedlings per km of riparian zone (single river bank)</t>
  </si>
  <si>
    <t>Total Seedlings Needed</t>
  </si>
  <si>
    <t>tC/ha/year, soil organic content</t>
  </si>
  <si>
    <t>Ratio ha agricultural fields protected : ha bamboo</t>
  </si>
  <si>
    <t>Estimate. TBC by GIS modelling</t>
  </si>
  <si>
    <t>Moisture content (freshly cut mature culm)</t>
  </si>
  <si>
    <t>Mature canopy cover diameter</t>
  </si>
  <si>
    <t>Density currently used in model</t>
  </si>
  <si>
    <t>Density (linear m)</t>
  </si>
  <si>
    <t>Biomass Calculations</t>
  </si>
  <si>
    <t>Do different unit calculation costs elsewhere as this has no costs or ER reductions - but acts as a guide for breakeven</t>
  </si>
  <si>
    <t>Most critical to ER</t>
  </si>
  <si>
    <t>year 1 value</t>
  </si>
  <si>
    <r>
      <t xml:space="preserve">Single </t>
    </r>
    <r>
      <rPr>
        <b/>
        <i/>
        <sz val="11"/>
        <color theme="1"/>
        <rFont val="Calibri"/>
        <family val="2"/>
        <scheme val="minor"/>
      </rPr>
      <t>Bambusa Balcooa</t>
    </r>
    <r>
      <rPr>
        <b/>
        <sz val="11"/>
        <color theme="1"/>
        <rFont val="Calibri"/>
        <family val="2"/>
        <scheme val="minor"/>
      </rPr>
      <t xml:space="preserve"> plant - Values in DRY WEIGHT (kilograms)</t>
    </r>
  </si>
  <si>
    <t>Per seedling calculations</t>
  </si>
  <si>
    <t>AM Version 1</t>
  </si>
  <si>
    <t>Adriaan's Tana plant</t>
  </si>
  <si>
    <t>Allahabad, India</t>
  </si>
  <si>
    <t>Kerala Forest Research Institute</t>
  </si>
  <si>
    <t>Roxb</t>
  </si>
  <si>
    <t>Average culms, per clump</t>
  </si>
  <si>
    <t>Avg Culm Weight (kg)</t>
  </si>
  <si>
    <t>Above-ground Biomass (kg)</t>
  </si>
  <si>
    <t>Above-ground Carbon Stock (tC/ha)</t>
  </si>
  <si>
    <t>Below-ground Biomass (kg)</t>
  </si>
  <si>
    <t>Below-ground Carbon Stock (tC/ha)</t>
  </si>
  <si>
    <t>Total Biomass (kg)</t>
  </si>
  <si>
    <t>Total Biomass (t/ha)</t>
  </si>
  <si>
    <t>Carbon Stock (tC/ha)</t>
  </si>
  <si>
    <r>
      <t>tCO</t>
    </r>
    <r>
      <rPr>
        <b/>
        <vertAlign val="subscript"/>
        <sz val="11"/>
        <rFont val="Calibri"/>
        <family val="2"/>
      </rPr>
      <t>2</t>
    </r>
    <r>
      <rPr>
        <b/>
        <sz val="11"/>
        <rFont val="Calibri"/>
        <family val="2"/>
      </rPr>
      <t>e/ha</t>
    </r>
  </si>
  <si>
    <t>Increase in biomass (Kg)</t>
  </si>
  <si>
    <t>Increase in Total Biomass (tonnes) / seedling</t>
  </si>
  <si>
    <t>Increase in carbon stock (tC/seedling)</t>
  </si>
  <si>
    <r>
      <t>tCO</t>
    </r>
    <r>
      <rPr>
        <b/>
        <vertAlign val="subscript"/>
        <sz val="11"/>
        <rFont val="Calibri"/>
        <family val="2"/>
      </rPr>
      <t>2</t>
    </r>
    <r>
      <rPr>
        <b/>
        <sz val="11"/>
        <rFont val="Calibri"/>
        <family val="2"/>
      </rPr>
      <t>e/seedling</t>
    </r>
  </si>
  <si>
    <t>Potential $ value per seedling</t>
  </si>
  <si>
    <t>Cumulative $ carbon value per seedling</t>
  </si>
  <si>
    <t>Avg Culm dry Weight (kg)</t>
  </si>
  <si>
    <r>
      <t>Carbon Stock</t>
    </r>
    <r>
      <rPr>
        <sz val="11"/>
        <color theme="1"/>
        <rFont val="Calibri"/>
        <family val="2"/>
        <scheme val="minor"/>
      </rPr>
      <t>: Total biomass (AGB + BGB) × 0.47 (default carbon fraction for tropical woody plants per IPCC 2003, referenced in AR-ACM0003).</t>
    </r>
  </si>
  <si>
    <r>
      <t>tCO</t>
    </r>
    <r>
      <rPr>
        <b/>
        <vertAlign val="subscript"/>
        <sz val="11"/>
        <color theme="1"/>
        <rFont val="Calibri"/>
        <family val="2"/>
        <scheme val="minor"/>
      </rPr>
      <t>2</t>
    </r>
    <r>
      <rPr>
        <b/>
        <sz val="11"/>
        <color theme="1"/>
        <rFont val="Calibri"/>
        <family val="2"/>
        <scheme val="minor"/>
      </rPr>
      <t>e Conversion</t>
    </r>
    <r>
      <rPr>
        <sz val="11"/>
        <color theme="1"/>
        <rFont val="Calibri"/>
        <family val="2"/>
        <scheme val="minor"/>
      </rPr>
      <t>: Under AR-ACM0003 (Afforestation and Reforestation of Lands Except Wetlands, v02.0), CO</t>
    </r>
    <r>
      <rPr>
        <vertAlign val="subscript"/>
        <sz val="11"/>
        <color theme="1"/>
        <rFont val="Calibri"/>
        <family val="2"/>
        <scheme val="minor"/>
      </rPr>
      <t>2</t>
    </r>
    <r>
      <rPr>
        <sz val="11"/>
        <color theme="1"/>
        <rFont val="Calibri"/>
        <family val="2"/>
        <scheme val="minor"/>
      </rPr>
      <t>e is calculated as carbon stock × (44/12) = carbon stock × 3.667. This represents the CO</t>
    </r>
    <r>
      <rPr>
        <vertAlign val="subscript"/>
        <sz val="11"/>
        <color theme="1"/>
        <rFont val="Calibri"/>
        <family val="2"/>
        <scheme val="minor"/>
      </rPr>
      <t>2</t>
    </r>
    <r>
      <rPr>
        <sz val="11"/>
        <color theme="1"/>
        <rFont val="Calibri"/>
        <family val="2"/>
        <scheme val="minor"/>
      </rPr>
      <t xml:space="preserve"> equivalent of the standing carbon stock (cumulative sequestration, assuming zero baseline emissions on degraded land, no non-CO</t>
    </r>
    <r>
      <rPr>
        <vertAlign val="subscript"/>
        <sz val="11"/>
        <color theme="1"/>
        <rFont val="Calibri"/>
        <family val="2"/>
        <scheme val="minor"/>
      </rPr>
      <t>2</t>
    </r>
    <r>
      <rPr>
        <sz val="11"/>
        <color theme="1"/>
        <rFont val="Calibri"/>
        <family val="2"/>
        <scheme val="minor"/>
      </rPr>
      <t xml:space="preserve"> GHGs, and no leakage). Values are in kg CO</t>
    </r>
    <r>
      <rPr>
        <vertAlign val="subscript"/>
        <sz val="11"/>
        <color theme="1"/>
        <rFont val="Calibri"/>
        <family val="2"/>
        <scheme val="minor"/>
      </rPr>
      <t>2</t>
    </r>
    <r>
      <rPr>
        <sz val="11"/>
        <color theme="1"/>
        <rFont val="Calibri"/>
        <family val="2"/>
        <scheme val="minor"/>
      </rPr>
      <t>e per single seedling (equivalent to 0.000[value] t CO</t>
    </r>
    <r>
      <rPr>
        <vertAlign val="subscript"/>
        <sz val="11"/>
        <color theme="1"/>
        <rFont val="Calibri"/>
        <family val="2"/>
        <scheme val="minor"/>
      </rPr>
      <t>2</t>
    </r>
    <r>
      <rPr>
        <sz val="11"/>
        <color theme="1"/>
        <rFont val="Calibri"/>
        <family val="2"/>
        <scheme val="minor"/>
      </rPr>
      <t>e).</t>
    </r>
  </si>
  <si>
    <t>Root:Shoot Ratio (IPCC default tropical)</t>
  </si>
  <si>
    <t>this gives the below ground biomass</t>
  </si>
  <si>
    <t xml:space="preserve">Notes: </t>
  </si>
  <si>
    <t>Individual Culm Weights: Assuming mature Bambusa balcooa culms average 6-8 kg dry weight (considering thick walls, 15-20m height). An average sample in Tana weighed 19 kgs (10.3 kg dry weight).</t>
  </si>
  <si>
    <t>Above-ground biomass includes culms, branches, and leaves, derived using non-destructive allometric models.</t>
  </si>
  <si>
    <t>A 12-year old clump in Tana had 180-200 culms by Year 12</t>
  </si>
  <si>
    <t>Capex</t>
  </si>
  <si>
    <t>Description (with units)</t>
  </si>
  <si>
    <t>Unit Cost</t>
  </si>
  <si>
    <t>US$</t>
  </si>
  <si>
    <t>Land Preparation</t>
  </si>
  <si>
    <t>Bamboo Seedlings, delivered to  site</t>
  </si>
  <si>
    <t>Planting Labour, per ha</t>
  </si>
  <si>
    <t>Irrigation Setup, per ha</t>
  </si>
  <si>
    <t>Infrastructure</t>
  </si>
  <si>
    <t>Vehicles &amp; Equipment</t>
  </si>
  <si>
    <t>Tissue culture lab &amp; accessories</t>
  </si>
  <si>
    <t>Other</t>
  </si>
  <si>
    <t xml:space="preserve">Other </t>
  </si>
  <si>
    <t>TOTAL</t>
  </si>
  <si>
    <t>Human Resources</t>
  </si>
  <si>
    <t>Position Head Count</t>
  </si>
  <si>
    <t>Unit</t>
  </si>
  <si>
    <t>Program Manager</t>
  </si>
  <si>
    <t>Logistic Manager</t>
  </si>
  <si>
    <t>Other staff</t>
  </si>
  <si>
    <t>Total Head Count</t>
  </si>
  <si>
    <t>Position Salary</t>
  </si>
  <si>
    <t>Annual Salary</t>
  </si>
  <si>
    <t>Opex</t>
  </si>
  <si>
    <t>Year 21</t>
  </si>
  <si>
    <t>Year 22</t>
  </si>
  <si>
    <t>Plantation Maintenance</t>
  </si>
  <si>
    <t>Staff Salaries</t>
  </si>
  <si>
    <t>Monitoring &amp; Reporting</t>
  </si>
  <si>
    <t>Community Engagement</t>
  </si>
  <si>
    <t>Admin &amp; Overheads</t>
  </si>
  <si>
    <t>Carbon Costs</t>
  </si>
  <si>
    <t>Transportation</t>
  </si>
  <si>
    <t>Communication &amp; PR</t>
  </si>
  <si>
    <t>GS fees</t>
  </si>
  <si>
    <t>VVBs</t>
  </si>
  <si>
    <t>Baseline &amp; other surveys</t>
  </si>
  <si>
    <t>Share of Proceeds</t>
  </si>
  <si>
    <t>Revenue</t>
  </si>
  <si>
    <t>Total</t>
  </si>
  <si>
    <t>CR_annualized</t>
  </si>
  <si>
    <r>
      <t>t CO</t>
    </r>
    <r>
      <rPr>
        <vertAlign val="subscript"/>
        <sz val="11"/>
        <color theme="1"/>
        <rFont val="Calibri"/>
        <family val="2"/>
        <scheme val="minor"/>
      </rPr>
      <t>2</t>
    </r>
    <r>
      <rPr>
        <sz val="11"/>
        <color theme="1"/>
        <rFont val="Calibri"/>
        <family val="2"/>
        <scheme val="minor"/>
      </rPr>
      <t>e/year</t>
    </r>
  </si>
  <si>
    <t>Production: Annualized carbon dioxide removals</t>
  </si>
  <si>
    <t>From Eq30</t>
  </si>
  <si>
    <t>Validation &amp; sale</t>
  </si>
  <si>
    <r>
      <t>Price per tCO</t>
    </r>
    <r>
      <rPr>
        <vertAlign val="subscript"/>
        <sz val="11"/>
        <color theme="1"/>
        <rFont val="Calibri"/>
        <family val="2"/>
        <scheme val="minor"/>
      </rPr>
      <t>2e</t>
    </r>
  </si>
  <si>
    <t>Carbon sales revenues</t>
  </si>
  <si>
    <t>Impact</t>
  </si>
  <si>
    <t>Average</t>
  </si>
  <si>
    <t>km</t>
  </si>
  <si>
    <t>Total km of riverbanks stabilised</t>
  </si>
  <si>
    <t>ha</t>
  </si>
  <si>
    <t>Total hectares planted</t>
  </si>
  <si>
    <t>units</t>
  </si>
  <si>
    <t>Total number of bamboo plants</t>
  </si>
  <si>
    <t>Total hectares agricultural fields protected from flood rush</t>
  </si>
  <si>
    <r>
      <t>Total tCO</t>
    </r>
    <r>
      <rPr>
        <vertAlign val="subscript"/>
        <sz val="11"/>
        <color theme="1"/>
        <rFont val="Calibri"/>
        <family val="2"/>
        <scheme val="minor"/>
      </rPr>
      <t>2</t>
    </r>
    <r>
      <rPr>
        <sz val="11"/>
        <color theme="1"/>
        <rFont val="Calibri"/>
        <family val="2"/>
        <scheme val="minor"/>
      </rPr>
      <t>e produced</t>
    </r>
  </si>
  <si>
    <r>
      <t>t CO</t>
    </r>
    <r>
      <rPr>
        <vertAlign val="subscript"/>
        <sz val="11"/>
        <color theme="1"/>
        <rFont val="Calibri"/>
        <family val="2"/>
        <scheme val="minor"/>
      </rPr>
      <t>2</t>
    </r>
    <r>
      <rPr>
        <sz val="11"/>
        <color theme="1"/>
        <rFont val="Calibri"/>
        <family val="2"/>
        <scheme val="minor"/>
      </rPr>
      <t>e/ha</t>
    </r>
  </si>
  <si>
    <r>
      <t>tCO</t>
    </r>
    <r>
      <rPr>
        <vertAlign val="subscript"/>
        <sz val="11"/>
        <color theme="1"/>
        <rFont val="Calibri"/>
        <family val="2"/>
        <scheme val="minor"/>
      </rPr>
      <t>2</t>
    </r>
    <r>
      <rPr>
        <sz val="11"/>
        <color theme="1"/>
        <rFont val="Calibri"/>
        <family val="2"/>
        <scheme val="minor"/>
      </rPr>
      <t>e per ha</t>
    </r>
  </si>
  <si>
    <t>households</t>
  </si>
  <si>
    <t>Number of households benefitting from access to bamboo poles</t>
  </si>
  <si>
    <t>Eq4: Total woody biomass carbon per hectare (t C/ha)</t>
  </si>
  <si>
    <t>CWP-woody-AB,t</t>
  </si>
  <si>
    <t>Aboveground woody biomass (t C/ha)</t>
  </si>
  <si>
    <t>Field measurement/allometry</t>
  </si>
  <si>
    <t>R</t>
  </si>
  <si>
    <t>Root to shoot ratio (unitless)</t>
  </si>
  <si>
    <t>IPCC default tropical</t>
  </si>
  <si>
    <t>Belowground woody biomass (t C/ha)</t>
  </si>
  <si>
    <t>Calculated</t>
  </si>
  <si>
    <t>CWP-woody,t</t>
  </si>
  <si>
    <t>Total woody biomass carbon per hectare (t C/ha)</t>
  </si>
  <si>
    <t>This calculates cumulative carbon changes since project baseline (t=0)</t>
  </si>
  <si>
    <t>Eq6: Non-woody biomass carbon per hectare (t C/ha)</t>
  </si>
  <si>
    <t>DMWP-herb,t</t>
  </si>
  <si>
    <t>t d.m./ha</t>
  </si>
  <si>
    <t>Non-woody biomass dry matter</t>
  </si>
  <si>
    <t>Estimated as 4% of woody biomass</t>
  </si>
  <si>
    <t>Not sure this makes sense</t>
  </si>
  <si>
    <t>CF</t>
  </si>
  <si>
    <t>t C/t d.m.</t>
  </si>
  <si>
    <t xml:space="preserve">Carbon fraction of dry biomass </t>
  </si>
  <si>
    <t>IPCC default</t>
  </si>
  <si>
    <t>CWP-herb,t</t>
  </si>
  <si>
    <t>Non-woody biomass carbon per hectare (t C/ha)</t>
  </si>
  <si>
    <t>This equation is used to estimate the carbon stored in herbaceous (non-woody) biomass on a per-hectare basis. It is part of the broader calculation of total biomass carbon in the project scenario.</t>
  </si>
  <si>
    <t>This value feeds into Equation (2), which sums all biomass pools (woody, herbaceous, dead wood, litter) to calculate total biomass carbon change.</t>
  </si>
  <si>
    <t>Bamboo plantations progressively suppress understory vegetation through multiple mechanisms:
1. Allelopathic Suppression:
* Chemical inhibition: Bamboo produces allelopathic compounds (natural herbicides)
* Research evidence: University of Tennessee states: "Many bamboo species produce allelopathic compounds, which prevent other plant species from living in the understory of a bamboo thicket"
2. Physical Suppression:
* Dense canopy: Bamboo creates heavy shading
* Thick litter layer: Fallen leaves create physical barrier
* Light competition: Minimal light reaches ground level
Realistic Bambusa balcooa Non-woody Biomass Pattern:
Years 1-2: 2.0-3.0 t d.m./ha (open canopy, weeds/grasses establish)
Years 3-5: 1.0-2.0 t d.m./ha (canopy closing, competition increasing)
Years 6-10: 0.3-1.0 t d.m./ha (heavy shading, allelopathy active)
Years 11-20: 0.1-0.5 t d.m./ha (minimal understory, dominated by litter)</t>
  </si>
  <si>
    <t>Eq8: Dead wood carbon per hectare (t C/ha)</t>
  </si>
  <si>
    <t>BSDW,t</t>
  </si>
  <si>
    <t xml:space="preserve"> t d.m./ha</t>
  </si>
  <si>
    <t>Standing dead wood biomass</t>
  </si>
  <si>
    <t>See note below</t>
  </si>
  <si>
    <t>BLDW,t</t>
  </si>
  <si>
    <t>Lying dead wood biomass (t d.m./ha)</t>
  </si>
  <si>
    <t xml:space="preserve"> t C/t d.m.</t>
  </si>
  <si>
    <t>Carbon fraction of dry biomass</t>
  </si>
  <si>
    <t>CWP-DW,t</t>
  </si>
  <si>
    <t>t C/ha</t>
  </si>
  <si>
    <t xml:space="preserve">Dead wood carbon per hectare </t>
  </si>
  <si>
    <r>
      <t xml:space="preserve">Unlike managed plantations, unmanaged stands will develop significant dead wood pools (see: https://pmc.ncbi.nlm.nih.gov/articles/PMC4165839/) 
</t>
    </r>
    <r>
      <rPr>
        <b/>
        <sz val="8"/>
        <rFont val="Arial"/>
        <family val="2"/>
      </rPr>
      <t xml:space="preserve">Dead Wood as % of Live Biomass (Dry Matter Basis)
Standing Dead Wood (BSDW,t) as % of Live Biomass:
</t>
    </r>
    <r>
      <rPr>
        <sz val="8"/>
        <rFont val="Arial"/>
        <family val="2"/>
      </rPr>
      <t xml:space="preserve">Time Period            Percentage Range	Reasoning
Years 1-5	1-3%	                              Minimal natural mortality in young stands
Years 6-10	3-8%	               First cohort senescence beginning
Years 11-15	5-12%	               Peak mortality phase, but excluding P. makinoi anomaly
Years 16-20	4-10%	               Steady state (closer to P. pubescens 10.5% than P. makinoi 52%)
</t>
    </r>
    <r>
      <rPr>
        <b/>
        <sz val="8"/>
        <rFont val="Arial"/>
        <family val="2"/>
      </rPr>
      <t xml:space="preserve">
Lying Dead Wood (BLDW,t) as % of Live Biomass:
</t>
    </r>
    <r>
      <rPr>
        <sz val="8"/>
        <rFont val="Arial"/>
        <family val="2"/>
      </rPr>
      <t xml:space="preserve">Time Period	Percentage Range	Reasoning
Years 1-5	               0.5-2%	               Minimal fallen material
Years 6-10	2-4%	               Some natural fall, rapid decomposition in riparian zone
Years 11-15	3-6%	               Fallen dead culms accumulating
Years 16-20	2-5%	               Balanced by faster tropical decomposition
</t>
    </r>
    <r>
      <rPr>
        <b/>
        <sz val="8"/>
        <rFont val="Arial"/>
        <family val="2"/>
      </rPr>
      <t xml:space="preserve">
Total Dead Wood as % of Live Biomass:
</t>
    </r>
    <r>
      <rPr>
        <sz val="8"/>
        <rFont val="Arial"/>
        <family val="2"/>
      </rPr>
      <t xml:space="preserve">Time Period	Combined Range
Years 1-5	               1.5-5%
Years 6-10	5-12%
Years 11-15	8-18%
Years 16-20	6-15%
</t>
    </r>
  </si>
  <si>
    <t>Realistic BSDW,t (Standing Dead Wood) Pattern:</t>
  </si>
  <si>
    <r>
      <t>Years 1-5:</t>
    </r>
    <r>
      <rPr>
        <sz val="6"/>
        <color rgb="FFFFFFFF"/>
        <rFont val="Arial"/>
        <family val="2"/>
      </rPr>
      <t> 0-2% of live biomass (minimal mortality)</t>
    </r>
  </si>
  <si>
    <r>
      <t>Years 6-10:</t>
    </r>
    <r>
      <rPr>
        <sz val="6"/>
        <color rgb="FFFFFFFF"/>
        <rFont val="Arial"/>
        <family val="2"/>
      </rPr>
      <t> 5-15% of live biomass (first cohort dying)</t>
    </r>
  </si>
  <si>
    <r>
      <t>Years 11-15:</t>
    </r>
    <r>
      <rPr>
        <sz val="6"/>
        <color rgb="FFFFFFFF"/>
        <rFont val="Arial"/>
        <family val="2"/>
      </rPr>
      <t> 10-20% of live biomass (steady-state mortality)</t>
    </r>
  </si>
  <si>
    <r>
      <t>Years 16-20:</t>
    </r>
    <r>
      <rPr>
        <sz val="6"/>
        <color rgb="FFFFFFFF"/>
        <rFont val="Arial"/>
        <family val="2"/>
      </rPr>
      <t> 15-25% of live biomass (multiple cohorts overlapping)</t>
    </r>
  </si>
  <si>
    <t>Realistic BLDW,t (Lying Dead Wood) Pattern:</t>
  </si>
  <si>
    <r>
      <t>Years 1-5:</t>
    </r>
    <r>
      <rPr>
        <sz val="6"/>
        <color rgb="FFFFFFFF"/>
        <rFont val="Arial"/>
        <family val="2"/>
      </rPr>
      <t> 0-1% of live biomass</t>
    </r>
  </si>
  <si>
    <r>
      <t>Years 6-10:</t>
    </r>
    <r>
      <rPr>
        <sz val="6"/>
        <color rgb="FFFFFFFF"/>
        <rFont val="Arial"/>
        <family val="2"/>
      </rPr>
      <t> 2-8% of live biomass (fallen culms accumulating)</t>
    </r>
  </si>
  <si>
    <r>
      <t>Years 11-15:</t>
    </r>
    <r>
      <rPr>
        <sz val="6"/>
        <color rgb="FFFFFFFF"/>
        <rFont val="Arial"/>
        <family val="2"/>
      </rPr>
      <t> 5-12% of live biomass</t>
    </r>
  </si>
  <si>
    <r>
      <t>Years 16-20:</t>
    </r>
    <r>
      <rPr>
        <sz val="6"/>
        <color rgb="FFFFFFFF"/>
        <rFont val="Arial"/>
        <family val="2"/>
      </rPr>
      <t> 8-15% of live biomass (but balanced by decomposition)</t>
    </r>
  </si>
  <si>
    <t>Eq10: Litter carbon per hectare (t C/ha)</t>
  </si>
  <si>
    <t>DMWP-LI,t</t>
  </si>
  <si>
    <t>Litter dry matter (t d.m./ha)</t>
  </si>
  <si>
    <t>Steady state litter accumulation</t>
  </si>
  <si>
    <t>Carbon fraction of dry biomass (t C/t d.m.)</t>
  </si>
  <si>
    <t>CWP-LI,t</t>
  </si>
  <si>
    <t>Litter carbon per hectare (t C/ha)</t>
  </si>
  <si>
    <t>Limited Scientific Data Available:
From the Taiwan study (the only bamboo litter data I found):
P. makinoi (26 years): ~2 Mg C/ha litter ÷ 0.47 CF = 4.3 t d.m./ha
P. pubescens (41 years): ~2 Mg C/ha litter ÷ 0.47 CF = 4.3 t d.m./ha
Reference forest: 3.91 Mg C/ha ÷ 0.47 = 8.3 t d.m./ha
But this is from post-landslide recovery sites, not typical bamboo plantations.</t>
  </si>
  <si>
    <t>Eq11: Soil organic carbon stock change (t C)</t>
  </si>
  <si>
    <t>A</t>
  </si>
  <si>
    <t>Project area</t>
  </si>
  <si>
    <t>GIS measurement</t>
  </si>
  <si>
    <t>CWP-SOC,t=0</t>
  </si>
  <si>
    <t>Initial soil carbon stock</t>
  </si>
  <si>
    <t>Baseline soil carbon</t>
  </si>
  <si>
    <t>Verify Assumptions!</t>
  </si>
  <si>
    <t>CWP-SOC,t</t>
  </si>
  <si>
    <t>Soil carbon stock at year t</t>
  </si>
  <si>
    <t>Baseline + accumulation</t>
  </si>
  <si>
    <t>Delta-CWP-SOC,t</t>
  </si>
  <si>
    <t>t C</t>
  </si>
  <si>
    <t>Scientific References:
Study 1: Grinand et al. (2017). https://agritrop.cirad.fr/581670/1/Grinand2017-JAG.pdf
Source: International Journal of Applied Earth Observation and Geoinformation 54: 1-14
Location: Southeast Madagascar (43,000 ha study area)
Findings:
Humid region cropland/savannah: 61.0 Mg C/ha (0-30 cm), 125.4 Mg C/ha (0-100 cm)
Dry region cropland/savannah: 46.8 Mg C/ha (0-30 cm), 94.7 Mg C/ha (0-100 cm)
Time Profile:
Years 1-3: Minimal SOC increase (establishment phase)
Years 4-10: Peak accumulation at ~0.5 t C/ha/year
Years 10+: Gradual decline to equilibrium (~0.2-0.3 t C/ha/year)</t>
  </si>
  <si>
    <t>Eq3: Woody biomass carbon stock change (t C)</t>
  </si>
  <si>
    <t>Ha</t>
  </si>
  <si>
    <t>CWP-woody,t=0</t>
  </si>
  <si>
    <t>Initial woody biomass carbon</t>
  </si>
  <si>
    <t>Pre-project baseline</t>
  </si>
  <si>
    <t>Woody biomass carbon at year t</t>
  </si>
  <si>
    <t>From Eq4_CWP_woody</t>
  </si>
  <si>
    <t>Delta-CWP-woody,t</t>
  </si>
  <si>
    <t>Baseline assumes no trees in the project zone (along rivers). This might need correction.</t>
  </si>
  <si>
    <t>Eq5: Non-woody biomass carbon stock change (t C)</t>
  </si>
  <si>
    <t>CWP-herb,t=0</t>
  </si>
  <si>
    <t>Initial non-woody biomass carbon</t>
  </si>
  <si>
    <t xml:space="preserve">Non-woody biomass carbon at year t </t>
  </si>
  <si>
    <t>From Eq6_CWP_herb</t>
  </si>
  <si>
    <t>Delta-CWP-herb,t</t>
  </si>
  <si>
    <t>Initial non-woody biomass carbon assumed zero: needs correction?</t>
  </si>
  <si>
    <t>Eq7: Dead wood carbon stock change (t C)</t>
  </si>
  <si>
    <t>CWP-DW,t=0</t>
  </si>
  <si>
    <t>Initial dead wood carbon</t>
  </si>
  <si>
    <t xml:space="preserve">Dead wood carbon at year t </t>
  </si>
  <si>
    <t>From Eq8_CWP_DW</t>
  </si>
  <si>
    <t>Delta-CWP-DW,t</t>
  </si>
  <si>
    <t>Initial dead wood carbon assumed zero: needs a value?</t>
  </si>
  <si>
    <t>Eq9: Litter carbon stock change (t C)</t>
  </si>
  <si>
    <t>CWP-LI,t=0</t>
  </si>
  <si>
    <t>Initial litter carbon</t>
  </si>
  <si>
    <t xml:space="preserve">Litter carbon at year t </t>
  </si>
  <si>
    <t>From Eq10_CWP_LI</t>
  </si>
  <si>
    <t>Delta-CWP-LI,t</t>
  </si>
  <si>
    <t>Initial litter carbon assumed zero on startup.</t>
  </si>
  <si>
    <t>Eq2: Total biomass carbon stock change (t C)</t>
  </si>
  <si>
    <t>∆CWP-woody,t</t>
  </si>
  <si>
    <t>From Eq3_Delta_woody</t>
  </si>
  <si>
    <t>∆CWP-herb,t</t>
  </si>
  <si>
    <t xml:space="preserve">Non-woody biomass carbon change </t>
  </si>
  <si>
    <t>From Eq5_Delta_herb</t>
  </si>
  <si>
    <t>∆CWP-DW,t</t>
  </si>
  <si>
    <t>From Eq7_Delta_DW</t>
  </si>
  <si>
    <t>∆CWP-LI,t</t>
  </si>
  <si>
    <t xml:space="preserve">Litter carbon change </t>
  </si>
  <si>
    <t>From Eq9_Delta_LI</t>
  </si>
  <si>
    <t>∆CWP-biomass,t</t>
  </si>
  <si>
    <t>This calculates cululative total</t>
  </si>
  <si>
    <t>VMD0054: Leakage</t>
  </si>
  <si>
    <t>Add data for leakage (VMD0054), emissions, uncertainty, buffer (VMD0055), and monitoring plan. Use real PB data.</t>
  </si>
  <si>
    <t>Ecoplanet assume 0 as no displaced agricultural activity</t>
  </si>
  <si>
    <r>
      <t>Eq1: Project carbon stock change (t CO</t>
    </r>
    <r>
      <rPr>
        <b/>
        <vertAlign val="subscript"/>
        <sz val="11"/>
        <rFont val="Calibri"/>
        <family val="2"/>
      </rPr>
      <t>2</t>
    </r>
    <r>
      <rPr>
        <b/>
        <sz val="11"/>
        <rFont val="Calibri"/>
        <family val="2"/>
      </rPr>
      <t>e)</t>
    </r>
  </si>
  <si>
    <t>From Eq2_Delta_biomass</t>
  </si>
  <si>
    <t>∆CWP-SOC,t</t>
  </si>
  <si>
    <t>From Eq11_Delta_SOC</t>
  </si>
  <si>
    <t>44/12</t>
  </si>
  <si>
    <r>
      <t>CO</t>
    </r>
    <r>
      <rPr>
        <vertAlign val="subscript"/>
        <sz val="11"/>
        <color theme="1"/>
        <rFont val="Calibri"/>
        <family val="2"/>
        <scheme val="minor"/>
      </rPr>
      <t>2</t>
    </r>
    <r>
      <rPr>
        <sz val="11"/>
        <color theme="1"/>
        <rFont val="Calibri"/>
        <family val="2"/>
        <scheme val="minor"/>
      </rPr>
      <t xml:space="preserve"> to C molecular ratio (unitless)</t>
    </r>
  </si>
  <si>
    <t>Conversion factor</t>
  </si>
  <si>
    <t>∆CWP,t</t>
  </si>
  <si>
    <r>
      <t xml:space="preserve"> t CO</t>
    </r>
    <r>
      <rPr>
        <b/>
        <vertAlign val="subscript"/>
        <sz val="11"/>
        <color theme="1"/>
        <rFont val="Calibri"/>
        <family val="2"/>
        <scheme val="minor"/>
      </rPr>
      <t>2</t>
    </r>
    <r>
      <rPr>
        <b/>
        <sz val="11"/>
        <color theme="1"/>
        <rFont val="Calibri"/>
        <family val="2"/>
        <scheme val="minor"/>
      </rPr>
      <t>e</t>
    </r>
  </si>
  <si>
    <t>Project carbon stock change</t>
  </si>
  <si>
    <t>Working DEL ME</t>
  </si>
  <si>
    <r>
      <t>Eq30: Net carbon dioxide removals (t CO</t>
    </r>
    <r>
      <rPr>
        <b/>
        <vertAlign val="subscript"/>
        <sz val="11"/>
        <rFont val="Calibri"/>
        <family val="2"/>
      </rPr>
      <t>2</t>
    </r>
    <r>
      <rPr>
        <b/>
        <sz val="11"/>
        <rFont val="Calibri"/>
        <family val="2"/>
      </rPr>
      <t>e) - Area Based Quantification</t>
    </r>
  </si>
  <si>
    <r>
      <t xml:space="preserve"> t CO</t>
    </r>
    <r>
      <rPr>
        <vertAlign val="subscript"/>
        <sz val="11"/>
        <color theme="1"/>
        <rFont val="Calibri"/>
        <family val="2"/>
        <scheme val="minor"/>
      </rPr>
      <t>2</t>
    </r>
    <r>
      <rPr>
        <sz val="11"/>
        <color theme="1"/>
        <rFont val="Calibri"/>
        <family val="2"/>
        <scheme val="minor"/>
      </rPr>
      <t>e</t>
    </r>
  </si>
  <si>
    <t>Project carbon stock change (cumulative )</t>
  </si>
  <si>
    <t>From Eq1_Project_total</t>
  </si>
  <si>
    <t>PB,t</t>
  </si>
  <si>
    <t>Performance benchmark (dimensionless)</t>
  </si>
  <si>
    <t>Eq_A6_PerfBench (conservative baseline factor)</t>
  </si>
  <si>
    <t>UNC,t</t>
  </si>
  <si>
    <t>%</t>
  </si>
  <si>
    <t>Uncertainty deduction</t>
  </si>
  <si>
    <t>Conservative uncertainty</t>
  </si>
  <si>
    <t>PE,t</t>
  </si>
  <si>
    <t>Project emissions from biomass burning and fertilizer in year t</t>
  </si>
  <si>
    <t>Site prep, fertilizer etc.</t>
  </si>
  <si>
    <t>LK,t</t>
  </si>
  <si>
    <t>Leakage</t>
  </si>
  <si>
    <t>Displacement effects</t>
  </si>
  <si>
    <t>Buffer pool</t>
  </si>
  <si>
    <t>VCS buffer pool</t>
  </si>
  <si>
    <t>CR,t</t>
  </si>
  <si>
    <t>Net annual carbon dioxide removals</t>
  </si>
  <si>
    <r>
      <t xml:space="preserve">PB,t = max(0, 1 - (ΔSIcontrol,t / ΔSIwp,t))
PB,t (Performance benchmark) is a dynamic baseline adjustment factor that represents how much of your project's measured performance would have happened anyway without the project intervention.
Where:
ΔSIcontrol,t = Average annual increase in stocking index in control plots (business-as-usual areas)
ΔSIwp,t = Average annual increase in stocking index in project plots (your bamboo areas)
</t>
    </r>
    <r>
      <rPr>
        <sz val="8"/>
        <color rgb="FFFF0000"/>
        <rFont val="Calibri"/>
        <family val="2"/>
        <scheme val="minor"/>
      </rPr>
      <t xml:space="preserve">This should be calculated in sheet E1_A6_PerfBench but for now, assumption data is used (0.2) </t>
    </r>
  </si>
  <si>
    <r>
      <t>Eq34: Annualized carbon dioxide removals (t CO</t>
    </r>
    <r>
      <rPr>
        <b/>
        <vertAlign val="subscript"/>
        <sz val="11"/>
        <rFont val="Calibri"/>
        <family val="2"/>
      </rPr>
      <t>2</t>
    </r>
    <r>
      <rPr>
        <b/>
        <sz val="11"/>
        <rFont val="Calibri"/>
        <family val="2"/>
      </rPr>
      <t>e/year)</t>
    </r>
  </si>
  <si>
    <r>
      <t>t CO</t>
    </r>
    <r>
      <rPr>
        <vertAlign val="subscript"/>
        <sz val="11"/>
        <color theme="1"/>
        <rFont val="Calibri"/>
        <family val="2"/>
        <scheme val="minor"/>
      </rPr>
      <t>2</t>
    </r>
    <r>
      <rPr>
        <sz val="11"/>
        <color theme="1"/>
        <rFont val="Calibri"/>
        <family val="2"/>
        <scheme val="minor"/>
      </rPr>
      <t>e</t>
    </r>
  </si>
  <si>
    <t xml:space="preserve">Net carbon dioxide removals </t>
  </si>
  <si>
    <t>From Eq32_Carbon_removals</t>
  </si>
  <si>
    <t>x</t>
  </si>
  <si>
    <t xml:space="preserve">Monitoring period length </t>
  </si>
  <si>
    <t>Annual intervals</t>
  </si>
  <si>
    <r>
      <t>t CO</t>
    </r>
    <r>
      <rPr>
        <b/>
        <vertAlign val="subscript"/>
        <sz val="11"/>
        <color theme="1"/>
        <rFont val="Calibri"/>
        <family val="2"/>
        <scheme val="minor"/>
      </rPr>
      <t>2</t>
    </r>
    <r>
      <rPr>
        <b/>
        <sz val="11"/>
        <color theme="1"/>
        <rFont val="Calibri"/>
        <family val="2"/>
        <scheme val="minor"/>
      </rPr>
      <t>e/year</t>
    </r>
  </si>
  <si>
    <t>Annualized carbon dioxide removals</t>
  </si>
  <si>
    <t>EqA6: VM0047 Performance Benchmark Calculator - Equation A6</t>
  </si>
  <si>
    <t>Performance Benchmark (PB,t) Calculation for VM0047 Appendix 1 Methodology</t>
  </si>
  <si>
    <t>INSTRUCTIONS:</t>
  </si>
  <si>
    <t>1. Enter control plot stocking index data over the monitoring period</t>
  </si>
  <si>
    <t>2. Enter project plot stocking index data over the monitoring period</t>
  </si>
  <si>
    <t>3. The worksheet will calculate ΔSIcontrol,t and ΔSIwp,t automatically</t>
  </si>
  <si>
    <t>4. Performance Benchmark (PB,t) is calculated based on the difference between project and control plots</t>
  </si>
  <si>
    <t>5. Yellow cells are for user input, light blue cells show calculated values</t>
  </si>
  <si>
    <t>To be replaced with ex-post monitored data.</t>
  </si>
  <si>
    <t>Link the data below to anticipated stocking data (available in other tabs)</t>
  </si>
  <si>
    <t>CONTROL PLOT STOCKING INDEX DATA</t>
  </si>
  <si>
    <t>PROJECT PLOT STOCKING INDEX DATA</t>
  </si>
  <si>
    <t>Baseline Scenario: Assumes initial stocks (t=0) are 0 for most pools (except SOC at 47 tC/ha). VM0047 requires a dynamic baseline via PB, but the Excel uses assumed PB values (0.28 decreasing to 0.2) instead of actual ex-post data from control plots. The PerfBench sheet has sample data only — real projects need monitored SI data (remote sensing + plots).</t>
  </si>
  <si>
    <t>Year (t)</t>
  </si>
  <si>
    <t>SIcontrol,t</t>
  </si>
  <si>
    <t>SIcontrol,t-1</t>
  </si>
  <si>
    <t>ΔSIcontrol,t</t>
  </si>
  <si>
    <t>SIwp,t</t>
  </si>
  <si>
    <t>SIwp,t-1</t>
  </si>
  <si>
    <t>ΔSIwp,t</t>
  </si>
  <si>
    <t>PERFORMANCE BENCHMARK CALCULATION (EQUATION A6)</t>
  </si>
  <si>
    <t>PB,t (Cumulative)</t>
  </si>
  <si>
    <t>Validation Check</t>
  </si>
  <si>
    <t>N/A</t>
  </si>
  <si>
    <t>PARAMETER DEFINITIONS AND UNITS</t>
  </si>
  <si>
    <t>Definition</t>
  </si>
  <si>
    <t>Units</t>
  </si>
  <si>
    <t>Stocking index of control plots at time t</t>
  </si>
  <si>
    <t>Dimensionless (0-1)</t>
  </si>
  <si>
    <t>Measured vegetation cover</t>
  </si>
  <si>
    <t>Stocking index of project plots at time t</t>
  </si>
  <si>
    <t>Stocking index of control plots at time t-1</t>
  </si>
  <si>
    <t>Previous year measurement</t>
  </si>
  <si>
    <t>Stocking index of project plots at time t-1</t>
  </si>
  <si>
    <t>Change in control plot stocking index</t>
  </si>
  <si>
    <t>Dimensionless</t>
  </si>
  <si>
    <t>SIcontrol,t - SIcontrol,t-1</t>
  </si>
  <si>
    <t>Change in project plot stocking index</t>
  </si>
  <si>
    <t>SIwp,t - SIwp,t-1</t>
  </si>
  <si>
    <t>Performance Benchmark at time t</t>
  </si>
  <si>
    <t>ΔSIwp,t - ΔSIcontrol,t</t>
  </si>
  <si>
    <t>t</t>
  </si>
  <si>
    <t>Time period (monitoring year)</t>
  </si>
  <si>
    <t>Years</t>
  </si>
  <si>
    <t>0 = baseline year</t>
  </si>
  <si>
    <t>VM0047 Equation A6:</t>
  </si>
  <si>
    <t>PB,t = ΔSIwp,t - ΔSIcontrol,t</t>
  </si>
  <si>
    <t>Additionality Criteria:</t>
  </si>
  <si>
    <t>PB,t &gt; 0 indicates additional performance</t>
  </si>
  <si>
    <t>VALIDATION AND ERROR CHECKING</t>
  </si>
  <si>
    <t>Result</t>
  </si>
  <si>
    <t>Data Completeness - Control</t>
  </si>
  <si>
    <t>At least 80% data required</t>
  </si>
  <si>
    <t>Data Completeness - Project</t>
  </si>
  <si>
    <t>Stocking Index Range - Control</t>
  </si>
  <si>
    <t>SI must be between 0 and 1</t>
  </si>
  <si>
    <t>Stocking Index Range - Project</t>
  </si>
  <si>
    <t>Average Performance Benchmark</t>
  </si>
  <si>
    <t>Positive PBt indicates additionality</t>
  </si>
  <si>
    <t>Total Cumulative PBt</t>
  </si>
  <si>
    <t>Cumulative performance assessment</t>
  </si>
  <si>
    <t>Years with Additional Performance</t>
  </si>
  <si>
    <t>Number of years showing additionality</t>
  </si>
  <si>
    <t>OVERALL PROJECT STATUS:</t>
  </si>
  <si>
    <t>DATA ENTRY INSTRUCTIONS</t>
  </si>
  <si>
    <t>1. Enter Stocking Index (SI) values for control plots in column B (yellow cells)</t>
  </si>
  <si>
    <t>2. Enter Stocking Index (SI) values for project plots in column H (yellow cells)</t>
  </si>
  <si>
    <t>3. Stocking Index should be between 0 (no vegetation) and 1 (full vegetation cover)</t>
  </si>
  <si>
    <t>4. Year 0 represents the baseline/pre-project condition</t>
  </si>
  <si>
    <t>5. Ensure data quality - missing values will affect validation results</t>
  </si>
  <si>
    <t>6. The worksheet automatically calculates:</t>
  </si>
  <si>
    <t xml:space="preserve">   - Changes in stocking index (ΔSI) for both control and project plots</t>
  </si>
  <si>
    <t xml:space="preserve">   - Performance Benchmark (PBt) using VM0047 Equation A6: PBt = ΔSIwp,t - ΔSIcontrol,t</t>
  </si>
  <si>
    <t xml:space="preserve">   - Cumulative performance over time</t>
  </si>
  <si>
    <t xml:space="preserve">   - Additionality assessment (PBt &gt; 0 indicates additional performance)</t>
  </si>
  <si>
    <t>VM0047 METHODOLOGY REFERENCE:</t>
  </si>
  <si>
    <t>- This calculator implements VM0047 Appendix 1 Performance Benchmark methodology</t>
  </si>
  <si>
    <t>- Performance Benchmark compares project performance against control plots</t>
  </si>
  <si>
    <t>- Positive PBt values demonstrate additionality under VM0047 requirements</t>
  </si>
  <si>
    <t>- For full methodology details, refer to VM0047 v1.1 Section 10.3-10.4 and Appendix 1</t>
  </si>
  <si>
    <t>NOTE: Sample data has been provided for demonstration purposes</t>
  </si>
  <si>
    <t>Replace with actual measured stocking index values for your project</t>
  </si>
  <si>
    <t>Planting density</t>
  </si>
  <si>
    <t>O</t>
  </si>
  <si>
    <t>Seedling Density Calculator</t>
  </si>
  <si>
    <t>Rows #</t>
  </si>
  <si>
    <t>Riparian planting width</t>
  </si>
  <si>
    <t>Mature canopy width</t>
  </si>
  <si>
    <t>Mature coverage area (m²)</t>
  </si>
  <si>
    <t>Length for 1 ha coverage (m)</t>
  </si>
  <si>
    <t>Seedlings / ha</t>
  </si>
  <si>
    <t>Area per seedling (m²)</t>
  </si>
  <si>
    <r>
      <t xml:space="preserve">A balanced, practical option is </t>
    </r>
    <r>
      <rPr>
        <b/>
        <sz val="11"/>
        <color theme="1"/>
        <rFont val="Calibri"/>
        <family val="2"/>
        <scheme val="minor"/>
      </rPr>
      <t>5 m row spacing × 5 m in-row spacing</t>
    </r>
    <r>
      <rPr>
        <sz val="11"/>
        <color theme="1"/>
        <rFont val="Calibri"/>
        <family val="2"/>
        <scheme val="minor"/>
      </rPr>
      <t xml:space="preserve"> (square grid):</t>
    </r>
  </si>
  <si>
    <r>
      <t>Rows across width</t>
    </r>
    <r>
      <rPr>
        <sz val="11"/>
        <color theme="1"/>
        <rFont val="Calibri"/>
        <family val="2"/>
        <scheme val="minor"/>
      </rPr>
      <t>: 5 rows (at 0 m, 5 m, 10 m, 15 m, 20 m from the water's edge).</t>
    </r>
  </si>
  <si>
    <r>
      <t>Trees per row</t>
    </r>
    <r>
      <rPr>
        <sz val="11"/>
        <color theme="1"/>
        <rFont val="Calibri"/>
        <family val="2"/>
        <scheme val="minor"/>
      </rPr>
      <t>: Depends on the riverbank length; e.g., for a 500 m length (equivalent to 1 ha of strip: 20 m × 500 m = 10,000 m²), you'd plant 100 trees/row × 5 rows = 500 trees (but adjust to exactly 400/ha by fine-tuning length-based spacing if needed).</t>
    </r>
  </si>
  <si>
    <r>
      <rPr>
        <b/>
        <sz val="11"/>
        <color theme="1"/>
        <rFont val="Calibri"/>
        <family val="2"/>
        <scheme val="minor"/>
      </rPr>
      <t xml:space="preserve">Stagger rows </t>
    </r>
    <r>
      <rPr>
        <sz val="11"/>
        <color theme="1"/>
        <rFont val="Calibri"/>
        <family val="2"/>
        <scheme val="minor"/>
      </rPr>
      <t>(triangular grid) if using the 5×5 layout to increase density slightly without changing area per tree—offset alternate rows by 2.5 m.</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</si>
</sst>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43" formatCode="_ * #,##0.00_ ;_ * \-#,##0.00_ ;_ * &quot;-&quot;??_ ;_ @_ "/>
    <numFmt numFmtId="164" formatCode="#,##0.0"/>
    <numFmt numFmtId="165" formatCode="[$$-409]#,##0"/>
    <numFmt numFmtId="166" formatCode="[$$-409]#,##0_ ;[Red]\-[$$-409]#,##0\ "/>
    <numFmt numFmtId="167" formatCode="[$$-409]#,##0.0_ ;[Red]\-[$$-409]#,##0.0\ "/>
    <numFmt numFmtId="168" formatCode="0.0"/>
    <numFmt numFmtId="169" formatCode="#,##0.000"/>
    <numFmt numFmtId="170" formatCode="_ * #,##0_ ;_ * \-#,##0_ ;_ * &quot;-&quot;??_ ;_ @_ "/>
    <numFmt numFmtId="171" formatCode="_ * #,##0.0_ ;_ * \-#,##0.0_ ;_ * &quot;-&quot;??_ ;_ @_ "/>
    <numFmt numFmtId="172" formatCode="#,##0.0000"/>
    <numFmt numFmtId="173" formatCode="[$$-409]#,##0.00"/>
  </numFmts>
  <fonts count="36" x14ac:knownFonts="1">
    <font>
      <sz val="11"/>
      <color theme="1"/>
      <name val="Calibri"/>
      <family val="2"/>
      <scheme val="minor"/>
    </font>
    <font>
      <b/>
      <sz val="11"/>
      <name val="Calibri"/>
      <family val="2"/>
    </font>
    <font>
      <sz val="11"/>
      <color rgb="FFFF0000"/>
      <name val="Calibri"/>
      <family val="2"/>
      <scheme val="minor"/>
    </font>
    <font>
      <b/>
      <sz val="11"/>
      <color theme="1"/>
      <name val="Calibri"/>
      <family val="2"/>
      <scheme val="minor"/>
    </font>
    <font>
      <vertAlign val="subscript"/>
      <sz val="11"/>
      <color theme="1"/>
      <name val="Calibri"/>
      <family val="2"/>
      <scheme val="minor"/>
    </font>
    <font>
      <sz val="8"/>
      <color theme="1"/>
      <name val="Calibri"/>
      <family val="2"/>
      <scheme val="minor"/>
    </font>
    <font>
      <b/>
      <vertAlign val="subscript"/>
      <sz val="11"/>
      <color theme="1"/>
      <name val="Calibri"/>
      <family val="2"/>
      <scheme val="minor"/>
    </font>
    <font>
      <b/>
      <vertAlign val="subscript"/>
      <sz val="11"/>
      <name val="Calibri"/>
      <family val="2"/>
    </font>
    <font>
      <sz val="8"/>
      <name val="Calibri"/>
      <family val="2"/>
      <scheme val="minor"/>
    </font>
    <font>
      <b/>
      <sz val="8"/>
      <color theme="1"/>
      <name val="Calibri"/>
      <family val="2"/>
      <scheme val="minor"/>
    </font>
    <font>
      <sz val="6"/>
      <color rgb="FFFFFFFF"/>
      <name val="Arial"/>
      <family val="2"/>
    </font>
    <font>
      <b/>
      <sz val="6"/>
      <color rgb="FFFFFFFF"/>
      <name val="Arial"/>
      <family val="2"/>
    </font>
    <font>
      <sz val="8"/>
      <name val="Arial"/>
      <family val="2"/>
    </font>
    <font>
      <b/>
      <sz val="8"/>
      <name val="Arial"/>
      <family val="2"/>
    </font>
    <font>
      <sz val="8"/>
      <color rgb="FFFF0000"/>
      <name val="Calibri"/>
      <family val="2"/>
      <scheme val="minor"/>
    </font>
    <font>
      <sz val="10"/>
      <name val="Calibri"/>
      <family val="2"/>
    </font>
    <font>
      <b/>
      <sz val="10"/>
      <name val="Calibri"/>
      <family val="2"/>
    </font>
    <font>
      <b/>
      <sz val="14"/>
      <name val="Calibri"/>
      <family val="2"/>
    </font>
    <font>
      <sz val="11"/>
      <name val="Calibri"/>
      <family val="2"/>
      <scheme val="minor"/>
    </font>
    <font>
      <i/>
      <sz val="9"/>
      <color rgb="FFFF0000"/>
      <name val="Calibri"/>
      <family val="2"/>
    </font>
    <font>
      <sz val="11"/>
      <color theme="1"/>
      <name val="Calibri"/>
      <family val="2"/>
      <scheme val="minor"/>
    </font>
    <font>
      <b/>
      <i/>
      <sz val="11"/>
      <color theme="1"/>
      <name val="Calibri"/>
      <family val="2"/>
      <scheme val="minor"/>
    </font>
    <font>
      <b/>
      <sz val="11"/>
      <color rgb="FFFF0000"/>
      <name val="Calibri"/>
      <family val="2"/>
      <scheme val="minor"/>
    </font>
    <font>
      <i/>
      <sz val="11"/>
      <color theme="1"/>
      <name val="Calibri"/>
      <family val="2"/>
      <scheme val="minor"/>
    </font>
    <font>
      <sz val="10"/>
      <color rgb="FFFF0000"/>
      <name val="Calibri"/>
      <family val="2"/>
    </font>
    <font>
      <sz val="9"/>
      <color indexed="81"/>
      <name val="Tahoma"/>
      <family val="2"/>
    </font>
    <font>
      <b/>
      <sz val="9"/>
      <color indexed="81"/>
      <name val="Tahoma"/>
      <family val="2"/>
    </font>
    <font>
      <sz val="11"/>
      <color theme="0"/>
      <name val="Calibri"/>
      <family val="2"/>
      <scheme val="minor"/>
    </font>
    <font>
      <b/>
      <sz val="11"/>
      <color theme="6" tint="-0.499984740745262"/>
      <name val="Calibri"/>
      <family val="2"/>
      <scheme val="minor"/>
    </font>
    <font>
      <b/>
      <sz val="11"/>
      <color theme="0"/>
      <name val="Calibri"/>
      <family val="2"/>
      <scheme val="minor"/>
    </font>
    <font>
      <b/>
      <sz val="11"/>
      <color rgb="FF000000"/>
      <name val="Calibri"/>
      <scheme val="minor"/>
    </font>
    <font>
      <sz val="11"/>
      <color rgb="FF000000"/>
      <name val="Calibri"/>
      <scheme val="minor"/>
    </font>
    <font>
      <sz val="9"/>
      <color indexed="81"/>
      <name val="Tahoma"/>
      <charset val="1"/>
    </font>
    <font>
      <b/>
      <sz val="9"/>
      <color indexed="81"/>
      <name val="Tahoma"/>
      <charset val="1"/>
    </font>
    <font>
      <b/>
      <sz val="8"/>
      <color rgb="FF000000"/>
      <name val="Calibri"/>
      <scheme val="minor"/>
    </font>
    <font>
      <sz val="8"/>
      <color rgb="FF000000"/>
      <name val="Calibri"/>
      <scheme val="minor"/>
    </font>
  </fonts>
  <fills count="33">
    <fill>
      <patternFill patternType="none"/>
    </fill>
    <fill>
      <patternFill patternType="gray125"/>
    </fill>
    <fill>
      <patternFill patternType="solid">
        <fgColor rgb="FFD0D0D0"/>
        <bgColor rgb="FFD0D0D0"/>
      </patternFill>
    </fill>
    <fill>
      <patternFill patternType="solid">
        <fgColor rgb="FFE6F3FF"/>
        <bgColor rgb="FFE6F3FF"/>
      </patternFill>
    </fill>
    <fill>
      <patternFill patternType="solid">
        <fgColor rgb="FFE6FFE6"/>
        <bgColor rgb="FFE6FFE6"/>
      </patternFill>
    </fill>
    <fill>
      <patternFill patternType="solid">
        <fgColor rgb="FFFFE6CC"/>
        <bgColor rgb="FFFFE6CC"/>
      </patternFill>
    </fill>
    <fill>
      <patternFill patternType="solid">
        <fgColor theme="9" tint="0.59999389629810485"/>
        <bgColor indexed="64"/>
      </patternFill>
    </fill>
    <fill>
      <patternFill patternType="solid">
        <fgColor theme="4" tint="0.79998168889431442"/>
        <bgColor indexed="64"/>
      </patternFill>
    </fill>
    <fill>
      <patternFill patternType="solid">
        <fgColor theme="9" tint="0.79998168889431442"/>
        <bgColor rgb="FFE6F3FF"/>
      </patternFill>
    </fill>
    <fill>
      <patternFill patternType="solid">
        <fgColor theme="9" tint="0.79998168889431442"/>
        <bgColor rgb="FFFFE6CC"/>
      </patternFill>
    </fill>
    <fill>
      <patternFill patternType="solid">
        <fgColor rgb="FFFFFF99"/>
        <bgColor rgb="FFFFFF99"/>
      </patternFill>
    </fill>
    <fill>
      <patternFill patternType="solid">
        <fgColor rgb="FFDCE6F1"/>
        <bgColor rgb="FFDCE6F1"/>
      </patternFill>
    </fill>
    <fill>
      <patternFill patternType="solid">
        <fgColor rgb="FFFFFFFF"/>
        <bgColor rgb="FFFFFFFF"/>
      </patternFill>
    </fill>
    <fill>
      <patternFill patternType="solid">
        <fgColor theme="4" tint="0.79998168889431442"/>
        <bgColor rgb="FFF0F0F0"/>
      </patternFill>
    </fill>
    <fill>
      <patternFill patternType="solid">
        <fgColor theme="0" tint="-0.249977111117893"/>
        <bgColor rgb="FF4F81BD"/>
      </patternFill>
    </fill>
    <fill>
      <patternFill patternType="solid">
        <fgColor theme="0" tint="-0.249977111117893"/>
        <bgColor indexed="64"/>
      </patternFill>
    </fill>
    <fill>
      <patternFill patternType="solid">
        <fgColor theme="0" tint="-0.249977111117893"/>
        <bgColor rgb="FF9BBB59"/>
      </patternFill>
    </fill>
    <fill>
      <patternFill patternType="solid">
        <fgColor theme="6" tint="0.79998168889431442"/>
        <bgColor indexed="64"/>
      </patternFill>
    </fill>
    <fill>
      <patternFill patternType="solid">
        <fgColor theme="9" tint="0.79998168889431442"/>
        <bgColor indexed="64"/>
      </patternFill>
    </fill>
    <fill>
      <patternFill patternType="solid">
        <fgColor theme="4" tint="0.79998168889431442"/>
        <bgColor rgb="FFFFE6CC"/>
      </patternFill>
    </fill>
    <fill>
      <patternFill patternType="solid">
        <fgColor rgb="FFE6FFE6"/>
        <bgColor indexed="64"/>
      </patternFill>
    </fill>
    <fill>
      <patternFill patternType="solid">
        <fgColor rgb="FFE6FFE6"/>
        <bgColor rgb="FFFFFF99"/>
      </patternFill>
    </fill>
    <fill>
      <patternFill patternType="solid">
        <fgColor theme="0" tint="-0.14999847407452621"/>
        <bgColor indexed="64"/>
      </patternFill>
    </fill>
    <fill>
      <patternFill patternType="solid">
        <fgColor theme="4" tint="0.79998168889431442"/>
        <bgColor rgb="FFE6F3FF"/>
      </patternFill>
    </fill>
    <fill>
      <patternFill patternType="solid">
        <fgColor rgb="FFFF0000"/>
        <bgColor indexed="64"/>
      </patternFill>
    </fill>
    <fill>
      <patternFill patternType="solid">
        <fgColor theme="0"/>
        <bgColor indexed="64"/>
      </patternFill>
    </fill>
    <fill>
      <patternFill patternType="solid">
        <fgColor rgb="FFFFFF00"/>
        <bgColor indexed="64"/>
      </patternFill>
    </fill>
    <fill>
      <patternFill patternType="solid">
        <fgColor theme="7"/>
        <bgColor indexed="64"/>
      </patternFill>
    </fill>
    <fill>
      <patternFill patternType="solid">
        <fgColor theme="1" tint="0.499984740745262"/>
        <bgColor indexed="64"/>
      </patternFill>
    </fill>
    <fill>
      <patternFill patternType="solid">
        <fgColor rgb="FFD0D0D0"/>
        <bgColor indexed="64"/>
      </patternFill>
    </fill>
    <fill>
      <patternFill patternType="solid">
        <fgColor rgb="FFFFFFFF"/>
        <bgColor indexed="64"/>
      </patternFill>
    </fill>
    <fill>
      <patternFill patternType="solid">
        <fgColor rgb="FFFDE9D9"/>
        <bgColor indexed="64"/>
      </patternFill>
    </fill>
    <fill>
      <patternFill patternType="solid">
        <fgColor rgb="FFDCE6F1"/>
        <bgColor indexed="64"/>
      </patternFill>
    </fill>
  </fills>
  <borders count="16">
    <border>
      <left/>
      <right/>
      <top/>
      <bottom/>
      <diagonal/>
    </border>
    <border>
      <left style="thin">
        <color auto="1"/>
      </left>
      <right style="thin">
        <color auto="1"/>
      </right>
      <top style="thin">
        <color auto="1"/>
      </top>
      <bottom style="thin">
        <color auto="1"/>
      </bottom>
      <diagonal/>
    </border>
    <border>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top/>
      <bottom style="thin">
        <color indexed="64"/>
      </bottom>
      <diagonal/>
    </border>
    <border>
      <left style="thin">
        <color indexed="64"/>
      </left>
      <right/>
      <top/>
      <bottom style="thin">
        <color indexed="64"/>
      </bottom>
      <diagonal/>
    </border>
    <border>
      <left style="thin">
        <color auto="1"/>
      </left>
      <right style="thin">
        <color auto="1"/>
      </right>
      <top/>
      <bottom/>
      <diagonal/>
    </border>
    <border>
      <left style="thin">
        <color auto="1"/>
      </left>
      <right style="thin">
        <color auto="1"/>
      </right>
      <top/>
      <bottom style="thin">
        <color indexed="64"/>
      </bottom>
      <diagonal/>
    </border>
    <border>
      <left style="thin">
        <color indexed="64"/>
      </left>
      <right/>
      <top style="thin">
        <color indexed="64"/>
      </top>
      <bottom style="thin">
        <color indexed="64"/>
      </bottom>
      <diagonal/>
    </border>
    <border>
      <left/>
      <right style="thin">
        <color auto="1"/>
      </right>
      <top/>
      <bottom style="thin">
        <color indexed="64"/>
      </bottom>
      <diagonal/>
    </border>
    <border>
      <left/>
      <right style="thin">
        <color auto="1"/>
      </right>
      <top style="thin">
        <color auto="1"/>
      </top>
      <bottom/>
      <diagonal/>
    </border>
    <border>
      <left/>
      <right style="thin">
        <color auto="1"/>
      </right>
      <top/>
      <bottom/>
      <diagonal/>
    </border>
    <border>
      <left style="thin">
        <color auto="1"/>
      </left>
      <right style="thin">
        <color indexed="64"/>
      </right>
      <top style="thin">
        <color auto="1"/>
      </top>
      <bottom/>
      <diagonal/>
    </border>
    <border>
      <left style="thin">
        <color indexed="64"/>
      </left>
      <right/>
      <top style="thin">
        <color indexed="64"/>
      </top>
      <bottom/>
      <diagonal/>
    </border>
  </borders>
  <cellStyleXfs count="3">
    <xf numFmtId="0" fontId="0" fillId="0" borderId="0"/>
    <xf numFmtId="9" fontId="20" fillId="0" borderId="0" applyFont="0" applyFill="0" applyBorder="0" applyAlignment="0" applyProtection="0"/>
    <xf numFmtId="43" fontId="20" fillId="0" borderId="0" applyFont="0" applyFill="0" applyBorder="0" applyAlignment="0" applyProtection="0"/>
  </cellStyleXfs>
  <cellXfs count="250">
    <xf numFmtId="0" fontId="0" fillId="0" borderId="0" xfId="0"/>
    <xf numFmtId="0" fontId="1" fillId="2" borderId="1" xfId="0" applyFont="1" applyFill="1" applyBorder="1"/>
    <xf numFmtId="0" fontId="0" fillId="0" borderId="4" xfId="0" applyBorder="1"/>
    <xf numFmtId="0" fontId="0" fillId="0" borderId="0" xfId="0" applyAlignment="1">
      <alignment horizontal="center"/>
    </xf>
    <xf numFmtId="0" fontId="5" fillId="0" borderId="0" xfId="0" applyFont="1"/>
    <xf numFmtId="0" fontId="0" fillId="0" borderId="0" xfId="0" applyAlignment="1">
      <alignment horizontal="left" indent="1"/>
    </xf>
    <xf numFmtId="3" fontId="0" fillId="0" borderId="0" xfId="0" applyNumberFormat="1" applyAlignment="1">
      <alignment horizontal="center"/>
    </xf>
    <xf numFmtId="0" fontId="3" fillId="0" borderId="0" xfId="0" applyFont="1"/>
    <xf numFmtId="0" fontId="0" fillId="7" borderId="0" xfId="0" applyFill="1" applyAlignment="1">
      <alignment horizontal="center"/>
    </xf>
    <xf numFmtId="0" fontId="0" fillId="7" borderId="6" xfId="0" applyFill="1" applyBorder="1" applyAlignment="1">
      <alignment horizontal="center"/>
    </xf>
    <xf numFmtId="3" fontId="0" fillId="0" borderId="8" xfId="0" applyNumberFormat="1" applyBorder="1" applyAlignment="1">
      <alignment horizontal="center"/>
    </xf>
    <xf numFmtId="3" fontId="0" fillId="7" borderId="8" xfId="0" applyNumberFormat="1" applyFill="1" applyBorder="1" applyAlignment="1">
      <alignment horizontal="center"/>
    </xf>
    <xf numFmtId="0" fontId="0" fillId="7" borderId="8" xfId="0" applyFill="1" applyBorder="1" applyAlignment="1">
      <alignment horizontal="center"/>
    </xf>
    <xf numFmtId="0" fontId="0" fillId="7" borderId="0" xfId="0" applyFill="1"/>
    <xf numFmtId="164" fontId="0" fillId="7" borderId="8" xfId="0" applyNumberFormat="1" applyFill="1" applyBorder="1" applyAlignment="1">
      <alignment horizontal="center"/>
    </xf>
    <xf numFmtId="0" fontId="0" fillId="0" borderId="0" xfId="0" applyAlignment="1">
      <alignment horizontal="left"/>
    </xf>
    <xf numFmtId="2" fontId="0" fillId="7" borderId="3" xfId="0" applyNumberFormat="1" applyFill="1" applyBorder="1" applyAlignment="1">
      <alignment horizontal="center"/>
    </xf>
    <xf numFmtId="0" fontId="0" fillId="0" borderId="1" xfId="0" applyBorder="1"/>
    <xf numFmtId="0" fontId="9" fillId="0" borderId="0" xfId="0" applyFont="1"/>
    <xf numFmtId="0" fontId="11" fillId="0" borderId="0" xfId="0" applyFont="1" applyAlignment="1">
      <alignment vertical="center" wrapText="1"/>
    </xf>
    <xf numFmtId="0" fontId="11" fillId="0" borderId="0" xfId="0" applyFont="1" applyAlignment="1">
      <alignment horizontal="left" vertical="center" wrapText="1" indent="1"/>
    </xf>
    <xf numFmtId="0" fontId="2" fillId="0" borderId="0" xfId="0" applyFont="1"/>
    <xf numFmtId="0" fontId="14" fillId="0" borderId="0" xfId="0" applyFont="1"/>
    <xf numFmtId="0" fontId="15" fillId="0" borderId="0" xfId="0" applyFont="1"/>
    <xf numFmtId="0" fontId="16" fillId="0" borderId="0" xfId="0" applyFont="1"/>
    <xf numFmtId="0" fontId="16" fillId="10" borderId="1" xfId="0" applyFont="1" applyFill="1" applyBorder="1"/>
    <xf numFmtId="0" fontId="15" fillId="12" borderId="1" xfId="0" applyFont="1" applyFill="1" applyBorder="1"/>
    <xf numFmtId="0" fontId="0" fillId="11" borderId="1" xfId="0" applyFill="1" applyBorder="1" applyAlignment="1">
      <alignment horizontal="center" vertical="center"/>
    </xf>
    <xf numFmtId="0" fontId="18" fillId="15" borderId="3" xfId="0" applyFont="1" applyFill="1" applyBorder="1"/>
    <xf numFmtId="0" fontId="18" fillId="15" borderId="4" xfId="0" applyFont="1" applyFill="1" applyBorder="1"/>
    <xf numFmtId="0" fontId="15" fillId="0" borderId="1" xfId="0" applyFont="1" applyBorder="1"/>
    <xf numFmtId="0" fontId="18" fillId="15" borderId="2" xfId="0" applyFont="1" applyFill="1" applyBorder="1"/>
    <xf numFmtId="0" fontId="15" fillId="12" borderId="9" xfId="0" applyFont="1" applyFill="1" applyBorder="1"/>
    <xf numFmtId="0" fontId="15" fillId="12" borderId="10" xfId="0" applyFont="1" applyFill="1" applyBorder="1"/>
    <xf numFmtId="0" fontId="15" fillId="0" borderId="10" xfId="0" applyFont="1" applyBorder="1"/>
    <xf numFmtId="0" fontId="17" fillId="0" borderId="0" xfId="0" applyFont="1" applyAlignment="1">
      <alignment vertical="center"/>
    </xf>
    <xf numFmtId="0" fontId="15" fillId="0" borderId="0" xfId="0" applyFont="1" applyAlignment="1">
      <alignment vertical="center"/>
    </xf>
    <xf numFmtId="0" fontId="19" fillId="0" borderId="0" xfId="0" applyFont="1"/>
    <xf numFmtId="0" fontId="0" fillId="6" borderId="0" xfId="0" applyFill="1"/>
    <xf numFmtId="0" fontId="0" fillId="17" borderId="0" xfId="0" applyFill="1"/>
    <xf numFmtId="0" fontId="0" fillId="0" borderId="1" xfId="0" applyBorder="1" applyAlignment="1">
      <alignment horizontal="center" vertical="center"/>
    </xf>
    <xf numFmtId="0" fontId="0" fillId="0" borderId="1" xfId="0" applyBorder="1" applyAlignment="1">
      <alignment horizontal="center"/>
    </xf>
    <xf numFmtId="0" fontId="0" fillId="0" borderId="6" xfId="0" applyBorder="1"/>
    <xf numFmtId="0" fontId="0" fillId="0" borderId="6" xfId="0" applyBorder="1" applyAlignment="1">
      <alignment horizontal="left"/>
    </xf>
    <xf numFmtId="0" fontId="0" fillId="0" borderId="11" xfId="0" applyBorder="1"/>
    <xf numFmtId="0" fontId="3" fillId="20" borderId="3" xfId="0" applyFont="1" applyFill="1" applyBorder="1"/>
    <xf numFmtId="0" fontId="3" fillId="20" borderId="4" xfId="0" applyFont="1" applyFill="1" applyBorder="1"/>
    <xf numFmtId="0" fontId="3" fillId="20" borderId="3" xfId="0" applyFont="1" applyFill="1" applyBorder="1" applyAlignment="1">
      <alignment horizontal="left"/>
    </xf>
    <xf numFmtId="0" fontId="0" fillId="20" borderId="4" xfId="0" applyFill="1" applyBorder="1"/>
    <xf numFmtId="0" fontId="0" fillId="20" borderId="1" xfId="0" applyFill="1" applyBorder="1"/>
    <xf numFmtId="0" fontId="0" fillId="20" borderId="10" xfId="0" applyFill="1" applyBorder="1"/>
    <xf numFmtId="0" fontId="15" fillId="20" borderId="1" xfId="0" applyFont="1" applyFill="1" applyBorder="1" applyAlignment="1">
      <alignment horizontal="center"/>
    </xf>
    <xf numFmtId="0" fontId="15" fillId="20" borderId="1" xfId="0" applyFont="1" applyFill="1" applyBorder="1" applyAlignment="1">
      <alignment horizontal="center" vertical="center"/>
    </xf>
    <xf numFmtId="0" fontId="16" fillId="21" borderId="1" xfId="0" applyFont="1" applyFill="1" applyBorder="1"/>
    <xf numFmtId="0" fontId="18" fillId="20" borderId="3" xfId="0" applyFont="1" applyFill="1" applyBorder="1"/>
    <xf numFmtId="0" fontId="18" fillId="20" borderId="4" xfId="0" applyFont="1" applyFill="1" applyBorder="1"/>
    <xf numFmtId="166" fontId="0" fillId="7" borderId="1" xfId="0" applyNumberFormat="1" applyFill="1" applyBorder="1" applyAlignment="1">
      <alignment horizontal="center"/>
    </xf>
    <xf numFmtId="166" fontId="0" fillId="18" borderId="1" xfId="0" applyNumberFormat="1" applyFill="1" applyBorder="1" applyAlignment="1">
      <alignment horizontal="center"/>
    </xf>
    <xf numFmtId="0" fontId="0" fillId="0" borderId="2" xfId="0" applyBorder="1"/>
    <xf numFmtId="0" fontId="0" fillId="0" borderId="13" xfId="0" applyBorder="1"/>
    <xf numFmtId="3" fontId="0" fillId="18" borderId="1" xfId="0" applyNumberFormat="1" applyFill="1" applyBorder="1" applyAlignment="1">
      <alignment horizontal="center"/>
    </xf>
    <xf numFmtId="167" fontId="0" fillId="7" borderId="1" xfId="0" applyNumberFormat="1" applyFill="1" applyBorder="1" applyAlignment="1">
      <alignment horizontal="center"/>
    </xf>
    <xf numFmtId="0" fontId="3" fillId="22" borderId="9" xfId="0" applyFont="1" applyFill="1" applyBorder="1" applyAlignment="1">
      <alignment horizontal="center" vertical="center" wrapText="1"/>
    </xf>
    <xf numFmtId="0" fontId="0" fillId="0" borderId="2" xfId="0" applyBorder="1" applyAlignment="1">
      <alignment horizontal="left"/>
    </xf>
    <xf numFmtId="0" fontId="1" fillId="2" borderId="1" xfId="0" applyFont="1" applyFill="1" applyBorder="1" applyAlignment="1">
      <alignment horizontal="center"/>
    </xf>
    <xf numFmtId="0" fontId="5" fillId="0" borderId="0" xfId="0" applyFont="1" applyAlignment="1">
      <alignment horizontal="center"/>
    </xf>
    <xf numFmtId="0" fontId="0" fillId="7" borderId="1" xfId="0" applyFill="1" applyBorder="1" applyAlignment="1">
      <alignment horizontal="center"/>
    </xf>
    <xf numFmtId="0" fontId="22" fillId="0" borderId="0" xfId="0" applyFont="1"/>
    <xf numFmtId="0" fontId="3" fillId="22" borderId="1" xfId="0" applyFont="1" applyFill="1" applyBorder="1"/>
    <xf numFmtId="0" fontId="23" fillId="0" borderId="0" xfId="0" applyFont="1"/>
    <xf numFmtId="165" fontId="0" fillId="7" borderId="12" xfId="0" applyNumberFormat="1" applyFill="1" applyBorder="1" applyAlignment="1">
      <alignment horizontal="center"/>
    </xf>
    <xf numFmtId="0" fontId="2" fillId="0" borderId="13" xfId="0" applyFont="1" applyBorder="1"/>
    <xf numFmtId="4" fontId="0" fillId="13" borderId="1" xfId="0" applyNumberFormat="1" applyFill="1" applyBorder="1"/>
    <xf numFmtId="4" fontId="0" fillId="0" borderId="1" xfId="0" applyNumberFormat="1" applyBorder="1"/>
    <xf numFmtId="4" fontId="0" fillId="18" borderId="1" xfId="0" applyNumberFormat="1" applyFill="1" applyBorder="1"/>
    <xf numFmtId="4" fontId="0" fillId="20" borderId="1" xfId="0" applyNumberFormat="1" applyFill="1" applyBorder="1"/>
    <xf numFmtId="0" fontId="24" fillId="0" borderId="0" xfId="0" applyFont="1"/>
    <xf numFmtId="3" fontId="0" fillId="7" borderId="14" xfId="0" applyNumberFormat="1" applyFill="1" applyBorder="1" applyAlignment="1">
      <alignment horizontal="center"/>
    </xf>
    <xf numFmtId="164" fontId="0" fillId="18" borderId="8" xfId="0" applyNumberFormat="1" applyFill="1" applyBorder="1" applyAlignment="1">
      <alignment horizontal="center"/>
    </xf>
    <xf numFmtId="3" fontId="0" fillId="18" borderId="8" xfId="0" applyNumberFormat="1" applyFill="1" applyBorder="1" applyAlignment="1">
      <alignment horizontal="center"/>
    </xf>
    <xf numFmtId="165" fontId="0" fillId="7" borderId="8" xfId="0" applyNumberFormat="1" applyFill="1" applyBorder="1" applyAlignment="1">
      <alignment horizontal="center"/>
    </xf>
    <xf numFmtId="9" fontId="0" fillId="7" borderId="8" xfId="1" applyFont="1" applyFill="1" applyBorder="1" applyAlignment="1">
      <alignment horizontal="center"/>
    </xf>
    <xf numFmtId="0" fontId="0" fillId="0" borderId="8" xfId="0" applyBorder="1" applyAlignment="1">
      <alignment horizontal="center"/>
    </xf>
    <xf numFmtId="3" fontId="3" fillId="4" borderId="1" xfId="0" applyNumberFormat="1" applyFont="1" applyFill="1" applyBorder="1" applyAlignment="1">
      <alignment horizontal="center"/>
    </xf>
    <xf numFmtId="3" fontId="0" fillId="23" borderId="1" xfId="0" applyNumberFormat="1" applyFill="1" applyBorder="1" applyAlignment="1">
      <alignment horizontal="center"/>
    </xf>
    <xf numFmtId="165" fontId="0" fillId="8" borderId="1" xfId="0" applyNumberFormat="1" applyFill="1" applyBorder="1" applyAlignment="1">
      <alignment horizontal="center"/>
    </xf>
    <xf numFmtId="165" fontId="3" fillId="4" borderId="1" xfId="0" applyNumberFormat="1" applyFont="1" applyFill="1" applyBorder="1" applyAlignment="1">
      <alignment horizontal="center"/>
    </xf>
    <xf numFmtId="165" fontId="0" fillId="7" borderId="0" xfId="0" applyNumberFormat="1" applyFill="1" applyAlignment="1">
      <alignment horizontal="center"/>
    </xf>
    <xf numFmtId="0" fontId="3" fillId="20" borderId="4" xfId="0" applyFont="1" applyFill="1" applyBorder="1" applyAlignment="1">
      <alignment horizontal="center"/>
    </xf>
    <xf numFmtId="0" fontId="0" fillId="18" borderId="0" xfId="0" applyFill="1"/>
    <xf numFmtId="0" fontId="0" fillId="0" borderId="0" xfId="0" applyAlignment="1">
      <alignment horizontal="center" vertical="center" wrapText="1"/>
    </xf>
    <xf numFmtId="0" fontId="0" fillId="0" borderId="0" xfId="0" applyAlignment="1">
      <alignment vertical="center" wrapText="1"/>
    </xf>
    <xf numFmtId="0" fontId="0" fillId="0" borderId="0" xfId="0" applyAlignment="1">
      <alignment horizontal="right"/>
    </xf>
    <xf numFmtId="0" fontId="0" fillId="7" borderId="0" xfId="0" applyFill="1" applyAlignment="1">
      <alignment horizontal="center" vertical="center" wrapText="1"/>
    </xf>
    <xf numFmtId="4" fontId="0" fillId="18" borderId="5" xfId="0" applyNumberFormat="1" applyFill="1" applyBorder="1" applyAlignment="1">
      <alignment horizontal="center"/>
    </xf>
    <xf numFmtId="169" fontId="0" fillId="18" borderId="5" xfId="0" applyNumberFormat="1" applyFill="1" applyBorder="1" applyAlignment="1">
      <alignment horizontal="center"/>
    </xf>
    <xf numFmtId="164" fontId="0" fillId="18" borderId="5" xfId="0" applyNumberFormat="1" applyFill="1" applyBorder="1" applyAlignment="1">
      <alignment horizontal="center"/>
    </xf>
    <xf numFmtId="3" fontId="0" fillId="18" borderId="5" xfId="0" applyNumberFormat="1" applyFill="1" applyBorder="1" applyAlignment="1">
      <alignment horizontal="center"/>
    </xf>
    <xf numFmtId="3" fontId="0" fillId="0" borderId="1" xfId="0" applyNumberFormat="1" applyBorder="1" applyAlignment="1">
      <alignment horizontal="center"/>
    </xf>
    <xf numFmtId="3" fontId="0" fillId="8" borderId="1" xfId="0" applyNumberFormat="1" applyFill="1" applyBorder="1" applyAlignment="1">
      <alignment horizontal="center"/>
    </xf>
    <xf numFmtId="0" fontId="0" fillId="3" borderId="1" xfId="0" applyFill="1" applyBorder="1" applyAlignment="1">
      <alignment horizontal="center"/>
    </xf>
    <xf numFmtId="168" fontId="0" fillId="3" borderId="1" xfId="0" applyNumberFormat="1" applyFill="1" applyBorder="1" applyAlignment="1">
      <alignment horizontal="center"/>
    </xf>
    <xf numFmtId="2" fontId="3" fillId="4" borderId="1" xfId="0" applyNumberFormat="1" applyFont="1" applyFill="1" applyBorder="1" applyAlignment="1">
      <alignment horizontal="center"/>
    </xf>
    <xf numFmtId="1" fontId="3" fillId="4" borderId="1" xfId="0" applyNumberFormat="1" applyFont="1" applyFill="1" applyBorder="1" applyAlignment="1">
      <alignment horizontal="center"/>
    </xf>
    <xf numFmtId="0" fontId="3" fillId="4" borderId="1" xfId="0" applyFont="1" applyFill="1" applyBorder="1" applyAlignment="1">
      <alignment horizontal="center"/>
    </xf>
    <xf numFmtId="4" fontId="0" fillId="8" borderId="1" xfId="0" applyNumberFormat="1" applyFill="1" applyBorder="1" applyAlignment="1">
      <alignment horizontal="center"/>
    </xf>
    <xf numFmtId="164" fontId="0" fillId="0" borderId="1" xfId="0" applyNumberFormat="1" applyBorder="1" applyAlignment="1">
      <alignment horizontal="center"/>
    </xf>
    <xf numFmtId="164" fontId="3" fillId="4" borderId="1" xfId="0" applyNumberFormat="1" applyFont="1" applyFill="1" applyBorder="1" applyAlignment="1">
      <alignment horizontal="center"/>
    </xf>
    <xf numFmtId="3" fontId="0" fillId="5" borderId="1" xfId="0" applyNumberFormat="1" applyFill="1" applyBorder="1" applyAlignment="1">
      <alignment horizontal="center"/>
    </xf>
    <xf numFmtId="165" fontId="0" fillId="0" borderId="1" xfId="0" applyNumberFormat="1" applyBorder="1" applyAlignment="1">
      <alignment horizontal="center"/>
    </xf>
    <xf numFmtId="3" fontId="0" fillId="19" borderId="1" xfId="0" applyNumberFormat="1" applyFill="1" applyBorder="1" applyAlignment="1">
      <alignment horizontal="center"/>
    </xf>
    <xf numFmtId="3" fontId="0" fillId="7" borderId="1" xfId="0" applyNumberFormat="1" applyFill="1" applyBorder="1" applyAlignment="1">
      <alignment horizontal="center"/>
    </xf>
    <xf numFmtId="165" fontId="0" fillId="7" borderId="1" xfId="0" applyNumberFormat="1" applyFill="1" applyBorder="1" applyAlignment="1">
      <alignment horizontal="center"/>
    </xf>
    <xf numFmtId="164" fontId="0" fillId="5" borderId="1" xfId="0" applyNumberFormat="1" applyFill="1" applyBorder="1" applyAlignment="1">
      <alignment horizontal="center"/>
    </xf>
    <xf numFmtId="0" fontId="0" fillId="9" borderId="1" xfId="0" applyFill="1" applyBorder="1" applyAlignment="1">
      <alignment horizontal="center"/>
    </xf>
    <xf numFmtId="4" fontId="0" fillId="5" borderId="1" xfId="0" applyNumberFormat="1" applyFill="1" applyBorder="1" applyAlignment="1">
      <alignment horizontal="center"/>
    </xf>
    <xf numFmtId="4" fontId="0" fillId="9" borderId="1" xfId="0" applyNumberFormat="1" applyFill="1" applyBorder="1" applyAlignment="1">
      <alignment horizontal="center"/>
    </xf>
    <xf numFmtId="2" fontId="0" fillId="0" borderId="1" xfId="0" applyNumberFormat="1" applyBorder="1" applyAlignment="1">
      <alignment horizontal="center"/>
    </xf>
    <xf numFmtId="3" fontId="0" fillId="4" borderId="1" xfId="0" applyNumberFormat="1" applyFill="1" applyBorder="1" applyAlignment="1">
      <alignment horizontal="center"/>
    </xf>
    <xf numFmtId="3" fontId="0" fillId="0" borderId="0" xfId="0" applyNumberFormat="1"/>
    <xf numFmtId="170" fontId="0" fillId="0" borderId="0" xfId="2" applyNumberFormat="1" applyFont="1"/>
    <xf numFmtId="165" fontId="22" fillId="0" borderId="0" xfId="0" applyNumberFormat="1" applyFont="1"/>
    <xf numFmtId="9" fontId="0" fillId="0" borderId="0" xfId="1" applyFont="1"/>
    <xf numFmtId="2" fontId="0" fillId="0" borderId="0" xfId="0" applyNumberFormat="1" applyAlignment="1">
      <alignment horizontal="center"/>
    </xf>
    <xf numFmtId="0" fontId="0" fillId="25" borderId="0" xfId="0" applyFill="1"/>
    <xf numFmtId="0" fontId="0" fillId="25" borderId="0" xfId="0" applyFill="1" applyAlignment="1">
      <alignment horizontal="center"/>
    </xf>
    <xf numFmtId="0" fontId="28" fillId="17" borderId="0" xfId="0" applyFont="1" applyFill="1" applyAlignment="1">
      <alignment horizontal="center"/>
    </xf>
    <xf numFmtId="9" fontId="0" fillId="7" borderId="8" xfId="0" applyNumberFormat="1" applyFill="1" applyBorder="1" applyAlignment="1">
      <alignment horizontal="center"/>
    </xf>
    <xf numFmtId="164" fontId="0" fillId="18" borderId="1" xfId="0" applyNumberFormat="1" applyFill="1" applyBorder="1" applyAlignment="1">
      <alignment horizontal="center"/>
    </xf>
    <xf numFmtId="0" fontId="1" fillId="2" borderId="10" xfId="0" applyFont="1" applyFill="1" applyBorder="1"/>
    <xf numFmtId="3" fontId="0" fillId="18" borderId="4" xfId="0" applyNumberFormat="1" applyFill="1" applyBorder="1" applyAlignment="1">
      <alignment horizontal="center"/>
    </xf>
    <xf numFmtId="164" fontId="0" fillId="18" borderId="4" xfId="0" applyNumberFormat="1" applyFill="1" applyBorder="1" applyAlignment="1">
      <alignment horizontal="center"/>
    </xf>
    <xf numFmtId="0" fontId="5" fillId="0" borderId="0" xfId="0" applyFont="1" applyAlignment="1">
      <alignment horizontal="left" indent="1"/>
    </xf>
    <xf numFmtId="0" fontId="9" fillId="0" borderId="0" xfId="0" applyFont="1" applyAlignment="1">
      <alignment horizontal="left"/>
    </xf>
    <xf numFmtId="0" fontId="0" fillId="3" borderId="0" xfId="0" applyFill="1" applyAlignment="1">
      <alignment horizontal="center"/>
    </xf>
    <xf numFmtId="43" fontId="0" fillId="0" borderId="0" xfId="2" applyFont="1"/>
    <xf numFmtId="170" fontId="0" fillId="0" borderId="0" xfId="0" applyNumberFormat="1"/>
    <xf numFmtId="0" fontId="0" fillId="26" borderId="0" xfId="0" applyFill="1"/>
    <xf numFmtId="0" fontId="2" fillId="0" borderId="0" xfId="0" applyFont="1" applyAlignment="1">
      <alignment horizontal="left"/>
    </xf>
    <xf numFmtId="43" fontId="0" fillId="7" borderId="8" xfId="2" applyFont="1" applyFill="1" applyBorder="1" applyAlignment="1">
      <alignment horizontal="center"/>
    </xf>
    <xf numFmtId="4" fontId="0" fillId="0" borderId="0" xfId="0" applyNumberFormat="1"/>
    <xf numFmtId="172" fontId="0" fillId="18" borderId="5" xfId="0" applyNumberFormat="1" applyFill="1" applyBorder="1" applyAlignment="1">
      <alignment horizontal="center"/>
    </xf>
    <xf numFmtId="165" fontId="0" fillId="7" borderId="14" xfId="0" applyNumberFormat="1" applyFill="1" applyBorder="1" applyAlignment="1">
      <alignment horizontal="center"/>
    </xf>
    <xf numFmtId="173" fontId="0" fillId="0" borderId="5" xfId="0" applyNumberFormat="1" applyBorder="1"/>
    <xf numFmtId="173" fontId="0" fillId="0" borderId="7" xfId="0" applyNumberFormat="1" applyBorder="1"/>
    <xf numFmtId="173" fontId="0" fillId="0" borderId="8" xfId="0" applyNumberFormat="1" applyBorder="1"/>
    <xf numFmtId="173" fontId="0" fillId="0" borderId="9" xfId="0" applyNumberFormat="1" applyBorder="1"/>
    <xf numFmtId="172" fontId="0" fillId="18" borderId="8" xfId="0" applyNumberFormat="1" applyFill="1" applyBorder="1" applyAlignment="1">
      <alignment horizontal="center"/>
    </xf>
    <xf numFmtId="169" fontId="0" fillId="18" borderId="7" xfId="0" applyNumberFormat="1" applyFill="1" applyBorder="1" applyAlignment="1">
      <alignment horizontal="center"/>
    </xf>
    <xf numFmtId="172" fontId="0" fillId="18" borderId="9" xfId="0" applyNumberFormat="1" applyFill="1" applyBorder="1" applyAlignment="1">
      <alignment horizontal="center"/>
    </xf>
    <xf numFmtId="4" fontId="0" fillId="18" borderId="14" xfId="0" applyNumberFormat="1" applyFill="1" applyBorder="1" applyAlignment="1">
      <alignment horizontal="center"/>
    </xf>
    <xf numFmtId="4" fontId="0" fillId="18" borderId="8" xfId="0" applyNumberFormat="1" applyFill="1" applyBorder="1" applyAlignment="1">
      <alignment horizontal="center"/>
    </xf>
    <xf numFmtId="4" fontId="0" fillId="18" borderId="9" xfId="0" applyNumberFormat="1" applyFill="1" applyBorder="1" applyAlignment="1">
      <alignment horizontal="center"/>
    </xf>
    <xf numFmtId="0" fontId="0" fillId="7" borderId="15" xfId="0" applyFill="1" applyBorder="1" applyAlignment="1">
      <alignment horizontal="center"/>
    </xf>
    <xf numFmtId="164" fontId="0" fillId="7" borderId="14" xfId="0" applyNumberFormat="1" applyFill="1" applyBorder="1" applyAlignment="1">
      <alignment horizontal="center"/>
    </xf>
    <xf numFmtId="0" fontId="0" fillId="7" borderId="2" xfId="0" applyFill="1" applyBorder="1" applyAlignment="1">
      <alignment horizontal="center" vertical="center" wrapText="1"/>
    </xf>
    <xf numFmtId="3" fontId="0" fillId="18" borderId="14" xfId="0" applyNumberFormat="1" applyFill="1" applyBorder="1" applyAlignment="1">
      <alignment horizontal="center"/>
    </xf>
    <xf numFmtId="4" fontId="0" fillId="18" borderId="15" xfId="0" applyNumberFormat="1" applyFill="1" applyBorder="1" applyAlignment="1">
      <alignment horizontal="center"/>
    </xf>
    <xf numFmtId="164" fontId="0" fillId="18" borderId="14" xfId="0" applyNumberFormat="1" applyFill="1" applyBorder="1" applyAlignment="1">
      <alignment horizontal="center"/>
    </xf>
    <xf numFmtId="164" fontId="0" fillId="18" borderId="15" xfId="0" applyNumberFormat="1" applyFill="1" applyBorder="1" applyAlignment="1">
      <alignment horizontal="center"/>
    </xf>
    <xf numFmtId="0" fontId="0" fillId="7" borderId="5" xfId="0" applyFill="1" applyBorder="1" applyAlignment="1">
      <alignment horizontal="center"/>
    </xf>
    <xf numFmtId="0" fontId="0" fillId="7" borderId="7" xfId="0" applyFill="1" applyBorder="1" applyAlignment="1">
      <alignment horizontal="center"/>
    </xf>
    <xf numFmtId="3" fontId="0" fillId="7" borderId="9" xfId="0" applyNumberFormat="1" applyFill="1" applyBorder="1" applyAlignment="1">
      <alignment horizontal="center"/>
    </xf>
    <xf numFmtId="0" fontId="0" fillId="7" borderId="6" xfId="0" applyFill="1" applyBorder="1" applyAlignment="1">
      <alignment horizontal="center" vertical="center" wrapText="1"/>
    </xf>
    <xf numFmtId="3" fontId="0" fillId="18" borderId="9" xfId="0" applyNumberFormat="1" applyFill="1" applyBorder="1" applyAlignment="1">
      <alignment horizontal="center"/>
    </xf>
    <xf numFmtId="3" fontId="0" fillId="18" borderId="7" xfId="0" applyNumberFormat="1" applyFill="1" applyBorder="1" applyAlignment="1">
      <alignment horizontal="center"/>
    </xf>
    <xf numFmtId="164" fontId="0" fillId="18" borderId="7" xfId="0" applyNumberFormat="1" applyFill="1" applyBorder="1" applyAlignment="1">
      <alignment horizontal="center"/>
    </xf>
    <xf numFmtId="172" fontId="0" fillId="18" borderId="15" xfId="0" applyNumberFormat="1" applyFill="1" applyBorder="1" applyAlignment="1">
      <alignment horizontal="center"/>
    </xf>
    <xf numFmtId="169" fontId="0" fillId="18" borderId="15" xfId="0" applyNumberFormat="1" applyFill="1" applyBorder="1" applyAlignment="1">
      <alignment horizontal="center"/>
    </xf>
    <xf numFmtId="172" fontId="0" fillId="18" borderId="14" xfId="0" applyNumberFormat="1" applyFill="1" applyBorder="1" applyAlignment="1">
      <alignment horizontal="center"/>
    </xf>
    <xf numFmtId="172" fontId="0" fillId="18" borderId="7" xfId="0" applyNumberFormat="1" applyFill="1" applyBorder="1" applyAlignment="1">
      <alignment horizontal="center"/>
    </xf>
    <xf numFmtId="0" fontId="3" fillId="22" borderId="15" xfId="0" applyFont="1" applyFill="1" applyBorder="1" applyAlignment="1">
      <alignment horizontal="center" vertical="center" wrapText="1"/>
    </xf>
    <xf numFmtId="0" fontId="3" fillId="22" borderId="14" xfId="0" applyFont="1" applyFill="1" applyBorder="1" applyAlignment="1">
      <alignment horizontal="center" vertical="center" wrapText="1"/>
    </xf>
    <xf numFmtId="3" fontId="3" fillId="22" borderId="14" xfId="0" applyNumberFormat="1" applyFont="1" applyFill="1" applyBorder="1" applyAlignment="1">
      <alignment horizontal="center" vertical="center" wrapText="1"/>
    </xf>
    <xf numFmtId="43" fontId="0" fillId="0" borderId="2" xfId="2" applyFont="1" applyBorder="1"/>
    <xf numFmtId="173" fontId="0" fillId="0" borderId="15" xfId="0" applyNumberFormat="1" applyBorder="1"/>
    <xf numFmtId="173" fontId="0" fillId="0" borderId="14" xfId="0" applyNumberFormat="1" applyBorder="1"/>
    <xf numFmtId="43" fontId="0" fillId="0" borderId="0" xfId="2" applyFont="1" applyBorder="1"/>
    <xf numFmtId="0" fontId="1" fillId="22" borderId="15" xfId="0" applyFont="1" applyFill="1" applyBorder="1" applyAlignment="1">
      <alignment horizontal="center" vertical="center" wrapText="1"/>
    </xf>
    <xf numFmtId="0" fontId="1" fillId="22" borderId="14" xfId="0" applyFont="1" applyFill="1" applyBorder="1" applyAlignment="1">
      <alignment horizontal="center" vertical="center" wrapText="1"/>
    </xf>
    <xf numFmtId="0" fontId="1" fillId="2" borderId="8" xfId="0" applyFont="1" applyFill="1" applyBorder="1" applyAlignment="1">
      <alignment horizontal="center"/>
    </xf>
    <xf numFmtId="0" fontId="1" fillId="2" borderId="14" xfId="0" applyFont="1" applyFill="1" applyBorder="1" applyAlignment="1">
      <alignment horizontal="center"/>
    </xf>
    <xf numFmtId="0" fontId="1" fillId="14" borderId="1" xfId="0" applyFont="1" applyFill="1" applyBorder="1" applyAlignment="1">
      <alignment vertical="center"/>
    </xf>
    <xf numFmtId="0" fontId="1" fillId="14" borderId="1" xfId="0" applyFont="1" applyFill="1" applyBorder="1" applyAlignment="1">
      <alignment horizontal="center" vertical="center"/>
    </xf>
    <xf numFmtId="0" fontId="1" fillId="16" borderId="1" xfId="0" applyFont="1" applyFill="1" applyBorder="1" applyAlignment="1">
      <alignment vertical="center"/>
    </xf>
    <xf numFmtId="0" fontId="1" fillId="16" borderId="1" xfId="0" applyFont="1" applyFill="1" applyBorder="1" applyAlignment="1">
      <alignment horizontal="center" vertical="center"/>
    </xf>
    <xf numFmtId="0" fontId="1" fillId="16" borderId="10" xfId="0" applyFont="1" applyFill="1" applyBorder="1" applyAlignment="1">
      <alignment horizontal="left" vertical="center"/>
    </xf>
    <xf numFmtId="0" fontId="1" fillId="16" borderId="4" xfId="0" applyFont="1" applyFill="1" applyBorder="1" applyAlignment="1">
      <alignment horizontal="left" vertical="center"/>
    </xf>
    <xf numFmtId="0" fontId="1" fillId="16" borderId="10" xfId="0" applyFont="1" applyFill="1" applyBorder="1" applyAlignment="1">
      <alignment horizontal="center" vertical="center"/>
    </xf>
    <xf numFmtId="0" fontId="1" fillId="16" borderId="4" xfId="0" applyFont="1" applyFill="1" applyBorder="1" applyAlignment="1">
      <alignment horizontal="center" vertical="center"/>
    </xf>
    <xf numFmtId="0" fontId="0" fillId="30" borderId="3" xfId="0" applyFill="1" applyBorder="1" applyAlignment="1">
      <alignment horizontal="center"/>
    </xf>
    <xf numFmtId="43" fontId="31" fillId="31" borderId="1" xfId="2" applyFont="1" applyFill="1" applyBorder="1" applyAlignment="1">
      <alignment horizontal="center"/>
    </xf>
    <xf numFmtId="0" fontId="0" fillId="30" borderId="0" xfId="0" applyFill="1" applyAlignment="1">
      <alignment horizontal="center"/>
    </xf>
    <xf numFmtId="170" fontId="31" fillId="32" borderId="10" xfId="2" applyNumberFormat="1" applyFont="1" applyFill="1" applyBorder="1" applyAlignment="1">
      <alignment horizontal="center"/>
    </xf>
    <xf numFmtId="170" fontId="31" fillId="32" borderId="15" xfId="2" applyNumberFormat="1" applyFont="1" applyFill="1" applyBorder="1" applyAlignment="1">
      <alignment horizontal="center"/>
    </xf>
    <xf numFmtId="170" fontId="31" fillId="32" borderId="7" xfId="2" applyNumberFormat="1" applyFont="1" applyFill="1" applyBorder="1" applyAlignment="1">
      <alignment horizontal="center"/>
    </xf>
    <xf numFmtId="0" fontId="0" fillId="29" borderId="2" xfId="0" applyFill="1" applyBorder="1"/>
    <xf numFmtId="0" fontId="30" fillId="29" borderId="15" xfId="0" applyFont="1" applyFill="1" applyBorder="1" applyAlignment="1">
      <alignment horizontal="left"/>
    </xf>
    <xf numFmtId="0" fontId="30" fillId="29" borderId="9" xfId="0" applyFont="1" applyFill="1" applyBorder="1" applyAlignment="1">
      <alignment horizontal="center" wrapText="1"/>
    </xf>
    <xf numFmtId="0" fontId="30" fillId="29" borderId="9" xfId="0" applyFont="1" applyFill="1" applyBorder="1" applyAlignment="1">
      <alignment horizontal="center"/>
    </xf>
    <xf numFmtId="0" fontId="34" fillId="30" borderId="0" xfId="0" applyFont="1" applyFill="1"/>
    <xf numFmtId="0" fontId="34" fillId="30" borderId="0" xfId="0" applyFont="1" applyFill="1" applyAlignment="1">
      <alignment horizontal="left" vertical="center" indent="1"/>
    </xf>
    <xf numFmtId="0" fontId="35" fillId="30" borderId="0" xfId="0" applyFont="1" applyFill="1" applyAlignment="1">
      <alignment horizontal="left" indent="1"/>
    </xf>
    <xf numFmtId="0" fontId="35" fillId="30" borderId="0" xfId="0" applyFont="1" applyFill="1" applyAlignment="1">
      <alignment horizontal="left"/>
    </xf>
    <xf numFmtId="0" fontId="0" fillId="30" borderId="0" xfId="0" applyFill="1" applyAlignment="1">
      <alignment horizontal="center" wrapText="1"/>
    </xf>
    <xf numFmtId="0" fontId="30" fillId="29" borderId="7" xfId="0" applyFont="1" applyFill="1" applyBorder="1" applyAlignment="1">
      <alignment horizontal="center" wrapText="1"/>
    </xf>
    <xf numFmtId="2" fontId="31" fillId="32" borderId="9" xfId="2" applyNumberFormat="1" applyFont="1" applyFill="1" applyBorder="1" applyAlignment="1">
      <alignment horizontal="center"/>
    </xf>
    <xf numFmtId="2" fontId="31" fillId="32" borderId="1" xfId="2" applyNumberFormat="1" applyFont="1" applyFill="1" applyBorder="1" applyAlignment="1">
      <alignment horizontal="center"/>
    </xf>
    <xf numFmtId="2" fontId="31" fillId="32" borderId="14" xfId="2" applyNumberFormat="1" applyFont="1" applyFill="1" applyBorder="1" applyAlignment="1">
      <alignment horizontal="center"/>
    </xf>
    <xf numFmtId="3" fontId="30" fillId="20" borderId="7" xfId="2" applyNumberFormat="1" applyFont="1" applyFill="1" applyBorder="1" applyAlignment="1">
      <alignment horizontal="center"/>
    </xf>
    <xf numFmtId="3" fontId="30" fillId="20" borderId="10" xfId="2" applyNumberFormat="1" applyFont="1" applyFill="1" applyBorder="1" applyAlignment="1">
      <alignment horizontal="center"/>
    </xf>
    <xf numFmtId="3" fontId="30" fillId="20" borderId="15" xfId="2" applyNumberFormat="1" applyFont="1" applyFill="1" applyBorder="1" applyAlignment="1">
      <alignment horizontal="center"/>
    </xf>
    <xf numFmtId="2" fontId="31" fillId="31" borderId="9" xfId="0" applyNumberFormat="1" applyFont="1" applyFill="1" applyBorder="1" applyAlignment="1">
      <alignment horizontal="center"/>
    </xf>
    <xf numFmtId="2" fontId="31" fillId="31" borderId="9" xfId="2" applyNumberFormat="1" applyFont="1" applyFill="1" applyBorder="1" applyAlignment="1">
      <alignment horizontal="center"/>
    </xf>
    <xf numFmtId="2" fontId="31" fillId="31" borderId="1" xfId="0" applyNumberFormat="1" applyFont="1" applyFill="1" applyBorder="1" applyAlignment="1">
      <alignment horizontal="center"/>
    </xf>
    <xf numFmtId="2" fontId="31" fillId="31" borderId="1" xfId="2" applyNumberFormat="1" applyFont="1" applyFill="1" applyBorder="1" applyAlignment="1">
      <alignment horizontal="center"/>
    </xf>
    <xf numFmtId="2" fontId="31" fillId="31" borderId="14" xfId="0" applyNumberFormat="1" applyFont="1" applyFill="1" applyBorder="1" applyAlignment="1">
      <alignment horizontal="center"/>
    </xf>
    <xf numFmtId="2" fontId="31" fillId="31" borderId="14" xfId="2" applyNumberFormat="1" applyFont="1" applyFill="1" applyBorder="1" applyAlignment="1">
      <alignment horizontal="center"/>
    </xf>
    <xf numFmtId="2" fontId="31" fillId="31" borderId="7" xfId="0" applyNumberFormat="1" applyFont="1" applyFill="1" applyBorder="1" applyAlignment="1">
      <alignment horizontal="center"/>
    </xf>
    <xf numFmtId="2" fontId="31" fillId="31" borderId="10" xfId="0" applyNumberFormat="1" applyFont="1" applyFill="1" applyBorder="1" applyAlignment="1">
      <alignment horizontal="center"/>
    </xf>
    <xf numFmtId="2" fontId="31" fillId="31" borderId="15" xfId="0" applyNumberFormat="1" applyFont="1" applyFill="1" applyBorder="1" applyAlignment="1">
      <alignment horizontal="center"/>
    </xf>
    <xf numFmtId="0" fontId="0" fillId="30" borderId="0" xfId="0" applyFill="1"/>
    <xf numFmtId="0" fontId="31" fillId="30" borderId="0" xfId="0" applyFont="1" applyFill="1" applyAlignment="1">
      <alignment horizontal="center"/>
    </xf>
    <xf numFmtId="2" fontId="0" fillId="30" borderId="0" xfId="0" applyNumberFormat="1" applyFill="1" applyAlignment="1">
      <alignment horizontal="center"/>
    </xf>
    <xf numFmtId="3" fontId="0" fillId="30" borderId="0" xfId="0" applyNumberFormat="1" applyFill="1" applyAlignment="1">
      <alignment horizontal="center"/>
    </xf>
    <xf numFmtId="2" fontId="0" fillId="30" borderId="0" xfId="2" applyNumberFormat="1" applyFont="1" applyFill="1" applyBorder="1" applyAlignment="1">
      <alignment horizontal="center"/>
    </xf>
    <xf numFmtId="171" fontId="0" fillId="30" borderId="0" xfId="2" applyNumberFormat="1" applyFont="1" applyFill="1" applyBorder="1" applyAlignment="1">
      <alignment horizontal="center"/>
    </xf>
    <xf numFmtId="3" fontId="0" fillId="30" borderId="0" xfId="2" applyNumberFormat="1" applyFont="1" applyFill="1" applyBorder="1" applyAlignment="1">
      <alignment horizontal="center"/>
    </xf>
    <xf numFmtId="3" fontId="31" fillId="31" borderId="7" xfId="2" applyNumberFormat="1" applyFont="1" applyFill="1" applyBorder="1" applyAlignment="1">
      <alignment horizontal="center"/>
    </xf>
    <xf numFmtId="3" fontId="31" fillId="31" borderId="10" xfId="2" applyNumberFormat="1" applyFont="1" applyFill="1" applyBorder="1" applyAlignment="1">
      <alignment horizontal="center"/>
    </xf>
    <xf numFmtId="3" fontId="31" fillId="31" borderId="15" xfId="2" applyNumberFormat="1" applyFont="1" applyFill="1" applyBorder="1" applyAlignment="1">
      <alignment horizontal="center"/>
    </xf>
    <xf numFmtId="0" fontId="27" fillId="27" borderId="0" xfId="0" applyFont="1" applyFill="1" applyAlignment="1">
      <alignment horizontal="center"/>
    </xf>
    <xf numFmtId="0" fontId="27" fillId="27" borderId="0" xfId="0" applyFont="1" applyFill="1" applyAlignment="1">
      <alignment horizontal="center" wrapText="1"/>
    </xf>
    <xf numFmtId="0" fontId="1" fillId="2" borderId="1" xfId="0" applyFont="1" applyFill="1" applyBorder="1"/>
    <xf numFmtId="0" fontId="0" fillId="0" borderId="3" xfId="0" applyBorder="1"/>
    <xf numFmtId="0" fontId="0" fillId="0" borderId="4" xfId="0" applyBorder="1"/>
    <xf numFmtId="0" fontId="27" fillId="24" borderId="0" xfId="0" applyFont="1" applyFill="1" applyAlignment="1">
      <alignment horizontal="center"/>
    </xf>
    <xf numFmtId="0" fontId="29" fillId="28" borderId="0" xfId="0" applyFont="1" applyFill="1" applyAlignment="1">
      <alignment horizontal="center"/>
    </xf>
    <xf numFmtId="0" fontId="2" fillId="0" borderId="2" xfId="0" applyFont="1" applyBorder="1" applyAlignment="1">
      <alignment horizontal="center" wrapText="1"/>
    </xf>
    <xf numFmtId="0" fontId="0" fillId="0" borderId="0" xfId="0" applyAlignment="1">
      <alignment horizontal="left" vertical="top" wrapText="1"/>
    </xf>
    <xf numFmtId="0" fontId="1" fillId="2" borderId="5" xfId="0" applyFont="1" applyFill="1" applyBorder="1" applyAlignment="1">
      <alignment horizontal="left"/>
    </xf>
    <xf numFmtId="0" fontId="1" fillId="2" borderId="0" xfId="0" applyFont="1" applyFill="1" applyAlignment="1">
      <alignment horizontal="left"/>
    </xf>
    <xf numFmtId="0" fontId="31" fillId="30" borderId="10" xfId="0" applyFont="1" applyFill="1" applyBorder="1" applyAlignment="1">
      <alignment horizontal="center"/>
    </xf>
    <xf numFmtId="0" fontId="0" fillId="30" borderId="3" xfId="0" applyFill="1" applyBorder="1" applyAlignment="1">
      <alignment horizontal="center"/>
    </xf>
    <xf numFmtId="0" fontId="0" fillId="30" borderId="4" xfId="0" applyFill="1" applyBorder="1" applyAlignment="1">
      <alignment horizontal="center"/>
    </xf>
    <xf numFmtId="0" fontId="5" fillId="0" borderId="0" xfId="0" applyFont="1" applyAlignment="1">
      <alignment horizontal="left" vertical="top"/>
    </xf>
    <xf numFmtId="0" fontId="5" fillId="0" borderId="0" xfId="0" applyFont="1" applyAlignment="1">
      <alignment horizontal="left" vertical="top" wrapText="1"/>
    </xf>
    <xf numFmtId="0" fontId="12" fillId="0" borderId="0" xfId="0" applyFont="1" applyAlignment="1">
      <alignment horizontal="left" vertical="top" wrapText="1"/>
    </xf>
    <xf numFmtId="0" fontId="14" fillId="0" borderId="0" xfId="0" applyFont="1" applyAlignment="1">
      <alignment horizontal="left" vertical="top"/>
    </xf>
    <xf numFmtId="0" fontId="2" fillId="0" borderId="0" xfId="0" applyFont="1" applyAlignment="1">
      <alignment horizontal="left" vertical="top" wrapText="1"/>
    </xf>
  </cellXfs>
  <cellStyles count="3">
    <cellStyle name="Comma" xfId="2" builtinId="3"/>
    <cellStyle name="Normal" xfId="0" builtinId="0"/>
    <cellStyle name="Percent" xfId="1" builtinId="5"/>
  </cellStyles>
  <dxfs count="0"/>
  <tableStyles count="0" defaultTableStyle="TableStyleMedium9" defaultPivotStyle="PivotStyleLight16"/>
  <colors>
    <mruColors>
      <color rgb="FFE6FFE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oneCellAnchor>
    <xdr:from>
      <xdr:col>10</xdr:col>
      <xdr:colOff>120650</xdr:colOff>
      <xdr:row>7</xdr:row>
      <xdr:rowOff>112024</xdr:rowOff>
    </xdr:from>
    <xdr:ext cx="3375025" cy="2986775"/>
    <xdr:pic>
      <xdr:nvPicPr>
        <xdr:cNvPr id="2" name="Picture 1">
          <a:extLst>
            <a:ext uri="{FF2B5EF4-FFF2-40B4-BE49-F238E27FC236}">
              <a16:creationId xmlns:a16="http://schemas.microsoft.com/office/drawing/2014/main" id="{967541C2-B655-45F4-8CE1-B374E30486F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255125" y="6665224"/>
          <a:ext cx="3375025" cy="298677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persons/person.xml><?xml version="1.0" encoding="utf-8"?>
<personList xmlns="http://schemas.microsoft.com/office/spreadsheetml/2018/threadedcomments" xmlns:x="http://schemas.openxmlformats.org/spreadsheetml/2006/main">
  <person displayName="Adriaan  Mol - SaniTap" id="{F7AE08F3-B08B-4637-9085-B7307C8B1F43}" userId="adriaan.mol@sanitap.org" providerId="PeoplePicker"/>
  <person displayName="James Walker - SaniTap Carbon Lead" id="{F9DB1A90-1072-4154-BF06-B03554B19489}" userId="james.walker@sanitap.org" providerId="PeoplePicker"/>
  <person displayName="Neil Shah" id="{8E55FAA8-7B39-441E-A273-953368B6AD85}" userId="S::neil.shah@sanitap.org::1a0a9a47-1254-40fc-a998-00e5b8ef040c" providerId="AD"/>
  <person displayName="Adriaan  Mol - SaniTap" id="{09F12982-1C97-4C99-A443-9348350815F7}" userId="S::adriaan.mol@sanitap.org::94637a5f-497e-4840-beb2-c70a6b6684dd" providerId="AD"/>
  <person displayName="James Walker - SaniTap Carbon Lead" id="{7D633124-D328-4567-88AD-C28642BB25BE}" userId="S::james.walker@sanitap.org::9d0e5867-8923-4bdf-8f66-a6ba9922d1fe" providerId="AD"/>
  <person displayName="Andrew Tanswell" id="{5900C7BE-7D9F-4C8A-82CB-F7DC39D8164C}" userId="S::andrew.tanswell@sanitap.org::6ef83219-0b7c-4488-bb02-021127c9c83d"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B10" dT="2025-10-29T12:54:53.39" personId="{5900C7BE-7D9F-4C8A-82CB-F7DC39D8164C}" id="{BB1D5C6B-2BA0-41B5-B55D-47DBD257DEAC}">
    <text>This cell does not have any dependents</text>
  </threadedComment>
  <threadedComment ref="B10" dT="2025-10-30T05:10:08.58" personId="{09F12982-1C97-4C99-A443-9348350815F7}" id="{9DB433A6-DF87-4887-9F69-5280A847EF81}" parentId="{BB1D5C6B-2BA0-41B5-B55D-47DBD257DEAC}">
    <text>Indeed, because actually this is not an input but an (impact measure) calculation. I added it as a metric in the Impact Tab</text>
  </threadedComment>
  <threadedComment ref="B19" dT="2025-11-04T10:25:37.57" personId="{8E55FAA8-7B39-441E-A273-953368B6AD85}" id="{29CE7E2D-1758-4C68-ACD1-D79C2299A336}">
    <text>X2 for both sides?</text>
  </threadedComment>
  <threadedComment ref="B19" dT="2025-11-13T11:18:06.84" personId="{09F12982-1C97-4C99-A443-9348350815F7}" id="{EA337606-F750-4027-A82D-4D0807BD7F8B}" parentId="{29CE7E2D-1758-4C68-ACD1-D79C2299A336}">
    <text>No, that would double it</text>
  </threadedComment>
</ThreadedComments>
</file>

<file path=xl/threadedComments/threadedComment2.xml><?xml version="1.0" encoding="utf-8"?>
<ThreadedComments xmlns="http://schemas.microsoft.com/office/spreadsheetml/2018/threadedcomments" xmlns:x="http://schemas.openxmlformats.org/spreadsheetml/2006/main">
  <threadedComment ref="K5" dT="2025-10-29T16:45:14.52" personId="{7D633124-D328-4567-88AD-C28642BB25BE}" id="{91233E4C-38F9-40A8-81CA-CFFAF2E3D2A6}">
    <text>Is there an upper limit on sequestration capacity?</text>
  </threadedComment>
  <threadedComment ref="K5" dT="2025-10-30T05:17:47.18" personId="{09F12982-1C97-4C99-A443-9348350815F7}" id="{18666AF2-93BA-419F-B9FC-615DFC961876}" parentId="{91233E4C-38F9-40A8-81CA-CFFAF2E3D2A6}">
    <text>Probably. 
This sheet is the  most important underlying assumption - and also the hardest to validate. I have been unable to identify solid references for biomass growth for (this type of) bamboo and the numbers here are the best guess from internet and AI research, and discussion with Lucas (of Domaine de la Cascade). I need to find a way to validate this thoroughly (but am struggling to work out  how).</text>
  </threadedComment>
  <threadedComment ref="K5" dT="2025-10-30T08:55:28.79" personId="{7D633124-D328-4567-88AD-C28642BB25BE}" id="{369946DF-26A7-49C3-9243-52C9379F8432}" parentId="{91233E4C-38F9-40A8-81CA-CFFAF2E3D2A6}">
    <text xml:space="preserve">https://news.mongabay.com/2023/07/villagers-turn-to-charcoal-made-of-bamboo-to-save-a-madagascar-forest/ This source states up to 392 tCO2e/ha. But by that we would cap growth from yr12. Is Lucas able to falsify this?
</text>
    <extLst>
      <x:ext xmlns:xltc2="http://schemas.microsoft.com/office/spreadsheetml/2020/threadedcomments2" uri="{F7C98A9C-CBB3-438F-8F68-D28B6AF4A901}">
        <xltc2:checksum>2668957827</xltc2:checksum>
        <xltc2:hyperlink startIndex="0" length="104" url="https://news.mongabay.com/2023/07/villagers-turn-to-charcoal-made-of-bamboo-to-save-a-madagascar-forest/"/>
      </x:ext>
    </extLst>
  </threadedComment>
  <threadedComment ref="K5" dT="2025-10-30T08:55:39.63" personId="{7D633124-D328-4567-88AD-C28642BB25BE}" id="{1A727E6A-C86A-496D-952D-4CED57F57295}" parentId="{91233E4C-38F9-40A8-81CA-CFFAF2E3D2A6}">
    <text>Primary source: https://www.inbar.int/wp-content/uploads/2023/05/BRU-4-1_FR-LUTTER-CONTRE-LE-CHANGEMENT-CLIMATIQUE-AVEC-LE-BAMBOU.pdf</text>
    <extLst>
      <x:ext xmlns:xltc2="http://schemas.microsoft.com/office/spreadsheetml/2020/threadedcomments2" uri="{F7C98A9C-CBB3-438F-8F68-D28B6AF4A901}">
        <xltc2:checksum>19702468</xltc2:checksum>
        <xltc2:hyperlink startIndex="16" length="117" url="https://www.inbar.int/wp-content/uploads/2023/05/BRU-4-1_FR-LUTTER-CONTRE-LE-CHANGEMENT-CLIMATIQUE-AVEC-LE-BAMBOU.pdf"/>
      </x:ext>
    </extLst>
  </threadedComment>
  <threadedComment ref="K5" dT="2025-10-30T12:58:03.80" personId="{09F12982-1C97-4C99-A443-9348350815F7}" id="{58AB0391-9EC7-4047-8574-78454B815FC3}" parentId="{91233E4C-38F9-40A8-81CA-CFFAF2E3D2A6}">
    <text>Thanks @James Walker - SaniTap Carbon Lead  Our model calculates ~40 tCO2e per hectare which is very close to the 49 tons mentioned in the INBAR document for an unmanaged plantation (albeit another species). Given the thickness of balcoa this is probably quite conservative.</text>
    <mentions>
      <mention mentionpersonId="{F9DB1A90-1072-4154-BF06-B03554B19489}" mentionId="{1E891B9A-2E58-4760-BD45-D27787E203A1}" startIndex="7" length="35"/>
    </mentions>
  </threadedComment>
</ThreadedComments>
</file>

<file path=xl/threadedComments/threadedComment3.xml><?xml version="1.0" encoding="utf-8"?>
<ThreadedComments xmlns="http://schemas.microsoft.com/office/spreadsheetml/2018/threadedcomments" xmlns:x="http://schemas.openxmlformats.org/spreadsheetml/2006/main">
  <threadedComment ref="U12" dT="2025-10-29T15:57:56.26" personId="{7D633124-D328-4567-88AD-C28642BB25BE}" id="{FA56E354-1AF3-406F-B3E1-69A788E39C11}">
    <text xml:space="preserve">Drops due to ‘Biomass’ B21:25 - growth starts to slow 
@Adriaan  Mol - SaniTap </text>
    <mentions>
      <mention mentionpersonId="{F7AE08F3-B08B-4637-9085-B7307C8B1F43}" mentionId="{6A6A834B-F17D-417F-8F1E-313ED6BE4E30}" startIndex="56" length="23"/>
    </mentions>
  </threadedComment>
  <threadedComment ref="U12" dT="2025-10-30T05:15:24.09" personId="{09F12982-1C97-4C99-A443-9348350815F7}" id="{F0B38DF4-F30A-4866-937F-94E3C5B33060}" parentId="{FA56E354-1AF3-406F-B3E1-69A788E39C11}">
    <text>Ah, yes, but then why is Year 20 so huge?</text>
  </threadedComment>
  <threadedComment ref="U12" dT="2025-10-30T15:49:13.98" personId="{5900C7BE-7D9F-4C8A-82CB-F7DC39D8164C}" id="{EE4EBCEA-482D-4AD4-BA79-CF88B6E03920}" parentId="{FA56E354-1AF3-406F-B3E1-69A788E39C11}">
    <text>The number in row 11 is calculated as per the percentage applied in row 18 and then deducts the prior year net annual CO2 reductions - ie its only the change in removal which can be claimed.</text>
  </threadedComment>
  <threadedComment ref="U12" dT="2025-10-30T15:51:44.42" personId="{5900C7BE-7D9F-4C8A-82CB-F7DC39D8164C}" id="{06EDB57A-5ABA-4DAA-BFF1-8ADE65776F54}" parentId="{FA56E354-1AF3-406F-B3E1-69A788E39C11}">
    <text xml:space="preserve">Not also decreases in year  6, 9, 12,
</text>
  </threadedComment>
</ThreadedComments>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525"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8EDA3474-7E90-41E6-BE4C-D507F84B9F9B}">
  <we:reference id="WA200009404" version="1.0.0.5" store="Omex" storeType="OMEX"/>
  <we:alternateReferences>
    <we:reference id="WA200009404" version="1.0.0.5" store="WA200009404" storeType="OMEX"/>
  </we:alternateReferences>
  <we:properties/>
  <we:bindings/>
  <we:snapshot xmlns:r="http://schemas.openxmlformats.org/officeDocument/2006/relationships"/>
</we:webextension>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24.xml.rels><?xml version="1.0" encoding="UTF-8" standalone="yes"?>
<Relationships xmlns="http://schemas.openxmlformats.org/package/2006/relationships"><Relationship Id="rId3" Type="http://schemas.microsoft.com/office/2017/10/relationships/threadedComment" Target="../threadedComments/threadedComment3.xml"/><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47"/>
  <sheetViews>
    <sheetView tabSelected="1" workbookViewId="0">
      <selection activeCell="A23" sqref="A23"/>
    </sheetView>
  </sheetViews>
  <sheetFormatPr defaultRowHeight="14.25" x14ac:dyDescent="0.45"/>
  <cols>
    <col min="1" max="1" width="12" customWidth="1"/>
    <col min="2" max="2" width="20" customWidth="1"/>
    <col min="3" max="3" width="40" customWidth="1"/>
    <col min="4" max="4" width="15" customWidth="1"/>
    <col min="5" max="5" width="20" customWidth="1"/>
  </cols>
  <sheetData>
    <row r="1" spans="1:5" x14ac:dyDescent="0.45">
      <c r="A1" s="233" t="s">
        <v>0</v>
      </c>
      <c r="B1" s="234"/>
      <c r="C1" s="234"/>
      <c r="D1" s="234"/>
      <c r="E1" s="235"/>
    </row>
    <row r="4" spans="1:5" x14ac:dyDescent="0.45">
      <c r="A4" s="1" t="s">
        <v>1</v>
      </c>
      <c r="B4" s="1" t="s">
        <v>2</v>
      </c>
      <c r="C4" s="1" t="s">
        <v>3</v>
      </c>
      <c r="D4" s="1" t="s">
        <v>4</v>
      </c>
      <c r="E4" s="1" t="s">
        <v>5</v>
      </c>
    </row>
    <row r="5" spans="1:5" x14ac:dyDescent="0.45">
      <c r="A5" t="s">
        <v>6</v>
      </c>
      <c r="B5" t="s">
        <v>7</v>
      </c>
      <c r="C5" t="s">
        <v>8</v>
      </c>
      <c r="D5" t="s">
        <v>9</v>
      </c>
      <c r="E5" t="s">
        <v>10</v>
      </c>
    </row>
    <row r="6" spans="1:5" x14ac:dyDescent="0.45">
      <c r="A6" t="s">
        <v>11</v>
      </c>
      <c r="B6" t="s">
        <v>12</v>
      </c>
      <c r="C6" t="s">
        <v>13</v>
      </c>
      <c r="D6" t="s">
        <v>9</v>
      </c>
      <c r="E6" t="s">
        <v>10</v>
      </c>
    </row>
    <row r="7" spans="1:5" x14ac:dyDescent="0.45">
      <c r="A7" t="s">
        <v>14</v>
      </c>
      <c r="B7" t="s">
        <v>15</v>
      </c>
      <c r="C7" t="s">
        <v>16</v>
      </c>
      <c r="D7" t="s">
        <v>9</v>
      </c>
      <c r="E7" t="s">
        <v>10</v>
      </c>
    </row>
    <row r="8" spans="1:5" x14ac:dyDescent="0.45">
      <c r="A8" t="s">
        <v>17</v>
      </c>
      <c r="B8" t="s">
        <v>18</v>
      </c>
      <c r="C8" t="s">
        <v>19</v>
      </c>
      <c r="D8" t="s">
        <v>9</v>
      </c>
      <c r="E8" t="s">
        <v>10</v>
      </c>
    </row>
    <row r="9" spans="1:5" x14ac:dyDescent="0.45">
      <c r="A9" t="s">
        <v>20</v>
      </c>
      <c r="B9" t="s">
        <v>21</v>
      </c>
      <c r="C9" t="s">
        <v>22</v>
      </c>
      <c r="D9" t="s">
        <v>9</v>
      </c>
      <c r="E9" t="s">
        <v>10</v>
      </c>
    </row>
    <row r="10" spans="1:5" x14ac:dyDescent="0.45">
      <c r="A10" t="s">
        <v>23</v>
      </c>
      <c r="B10" t="s">
        <v>24</v>
      </c>
      <c r="C10" t="s">
        <v>25</v>
      </c>
      <c r="D10" t="s">
        <v>6</v>
      </c>
      <c r="E10" t="s">
        <v>26</v>
      </c>
    </row>
    <row r="11" spans="1:5" x14ac:dyDescent="0.45">
      <c r="A11" t="s">
        <v>27</v>
      </c>
      <c r="B11" t="s">
        <v>28</v>
      </c>
      <c r="C11" t="s">
        <v>29</v>
      </c>
      <c r="D11" t="s">
        <v>11</v>
      </c>
      <c r="E11" t="s">
        <v>30</v>
      </c>
    </row>
    <row r="12" spans="1:5" x14ac:dyDescent="0.45">
      <c r="A12" t="s">
        <v>31</v>
      </c>
      <c r="B12" t="s">
        <v>32</v>
      </c>
      <c r="C12" t="s">
        <v>33</v>
      </c>
      <c r="D12" t="s">
        <v>14</v>
      </c>
      <c r="E12" t="s">
        <v>34</v>
      </c>
    </row>
    <row r="13" spans="1:5" x14ac:dyDescent="0.45">
      <c r="A13" t="s">
        <v>35</v>
      </c>
      <c r="B13" t="s">
        <v>36</v>
      </c>
      <c r="C13" t="s">
        <v>37</v>
      </c>
      <c r="D13" t="s">
        <v>17</v>
      </c>
      <c r="E13" t="s">
        <v>38</v>
      </c>
    </row>
    <row r="14" spans="1:5" x14ac:dyDescent="0.45">
      <c r="A14" t="s">
        <v>39</v>
      </c>
      <c r="B14" t="s">
        <v>40</v>
      </c>
      <c r="C14" t="s">
        <v>41</v>
      </c>
      <c r="D14" t="s">
        <v>42</v>
      </c>
      <c r="E14" t="s">
        <v>43</v>
      </c>
    </row>
    <row r="15" spans="1:5" ht="15.75" x14ac:dyDescent="0.55000000000000004">
      <c r="A15" t="s">
        <v>44</v>
      </c>
      <c r="B15" t="s">
        <v>45</v>
      </c>
      <c r="C15" t="s">
        <v>46</v>
      </c>
      <c r="D15" t="s">
        <v>47</v>
      </c>
      <c r="E15" t="s">
        <v>48</v>
      </c>
    </row>
    <row r="16" spans="1:5" x14ac:dyDescent="0.45">
      <c r="A16" t="s">
        <v>49</v>
      </c>
      <c r="B16" t="s">
        <v>50</v>
      </c>
      <c r="C16" t="s">
        <v>51</v>
      </c>
      <c r="D16" t="s">
        <v>44</v>
      </c>
      <c r="E16" t="s">
        <v>52</v>
      </c>
    </row>
    <row r="17" spans="1:5" x14ac:dyDescent="0.45">
      <c r="A17" t="s">
        <v>53</v>
      </c>
      <c r="B17" t="s">
        <v>54</v>
      </c>
      <c r="C17" t="s">
        <v>55</v>
      </c>
      <c r="D17" t="s">
        <v>49</v>
      </c>
      <c r="E17" t="s">
        <v>56</v>
      </c>
    </row>
    <row r="21" spans="1:5" x14ac:dyDescent="0.45">
      <c r="A21" s="7" t="s">
        <v>57</v>
      </c>
    </row>
    <row r="22" spans="1:5" x14ac:dyDescent="0.45">
      <c r="A22" s="13" t="s">
        <v>58</v>
      </c>
      <c r="B22" s="13"/>
      <c r="C22" s="13"/>
    </row>
    <row r="23" spans="1:5" x14ac:dyDescent="0.45">
      <c r="A23" s="38" t="s">
        <v>59</v>
      </c>
      <c r="B23" s="38"/>
      <c r="C23" s="38"/>
    </row>
    <row r="24" spans="1:5" x14ac:dyDescent="0.45">
      <c r="A24" s="39" t="s">
        <v>60</v>
      </c>
      <c r="B24" s="39"/>
      <c r="C24" s="39"/>
    </row>
    <row r="29" spans="1:5" x14ac:dyDescent="0.45">
      <c r="A29" s="7" t="s">
        <v>61</v>
      </c>
    </row>
    <row r="30" spans="1:5" x14ac:dyDescent="0.45">
      <c r="A30" s="239" t="s">
        <v>62</v>
      </c>
      <c r="B30" s="239"/>
      <c r="C30" s="239"/>
      <c r="D30" s="239"/>
      <c r="E30" s="239"/>
    </row>
    <row r="31" spans="1:5" x14ac:dyDescent="0.45">
      <c r="A31" s="239"/>
      <c r="B31" s="239"/>
      <c r="C31" s="239"/>
      <c r="D31" s="239"/>
      <c r="E31" s="239"/>
    </row>
    <row r="32" spans="1:5" x14ac:dyDescent="0.45">
      <c r="A32" s="239"/>
      <c r="B32" s="239"/>
      <c r="C32" s="239"/>
      <c r="D32" s="239"/>
      <c r="E32" s="239"/>
    </row>
    <row r="33" spans="1:5" x14ac:dyDescent="0.45">
      <c r="A33" s="239"/>
      <c r="B33" s="239"/>
      <c r="C33" s="239"/>
      <c r="D33" s="239"/>
      <c r="E33" s="239"/>
    </row>
    <row r="34" spans="1:5" x14ac:dyDescent="0.45">
      <c r="A34" s="239"/>
      <c r="B34" s="239"/>
      <c r="C34" s="239"/>
      <c r="D34" s="239"/>
      <c r="E34" s="239"/>
    </row>
    <row r="35" spans="1:5" x14ac:dyDescent="0.45">
      <c r="A35" s="239"/>
      <c r="B35" s="239"/>
      <c r="C35" s="239"/>
      <c r="D35" s="239"/>
      <c r="E35" s="239"/>
    </row>
    <row r="36" spans="1:5" x14ac:dyDescent="0.45">
      <c r="A36" s="239"/>
      <c r="B36" s="239"/>
      <c r="C36" s="239"/>
      <c r="D36" s="239"/>
      <c r="E36" s="239"/>
    </row>
    <row r="37" spans="1:5" x14ac:dyDescent="0.45">
      <c r="A37" s="239"/>
      <c r="B37" s="239"/>
      <c r="C37" s="239"/>
      <c r="D37" s="239"/>
      <c r="E37" s="239"/>
    </row>
    <row r="38" spans="1:5" x14ac:dyDescent="0.45">
      <c r="A38" s="239"/>
      <c r="B38" s="239"/>
      <c r="C38" s="239"/>
      <c r="D38" s="239"/>
      <c r="E38" s="239"/>
    </row>
    <row r="39" spans="1:5" x14ac:dyDescent="0.45">
      <c r="A39" s="239"/>
      <c r="B39" s="239"/>
      <c r="C39" s="239"/>
      <c r="D39" s="239"/>
      <c r="E39" s="239"/>
    </row>
    <row r="40" spans="1:5" x14ac:dyDescent="0.45">
      <c r="A40" s="239"/>
      <c r="B40" s="239"/>
      <c r="C40" s="239"/>
      <c r="D40" s="239"/>
      <c r="E40" s="239"/>
    </row>
    <row r="41" spans="1:5" x14ac:dyDescent="0.45">
      <c r="A41" s="239"/>
      <c r="B41" s="239"/>
      <c r="C41" s="239"/>
      <c r="D41" s="239"/>
      <c r="E41" s="239"/>
    </row>
    <row r="42" spans="1:5" x14ac:dyDescent="0.45">
      <c r="A42" s="239"/>
      <c r="B42" s="239"/>
      <c r="C42" s="239"/>
      <c r="D42" s="239"/>
      <c r="E42" s="239"/>
    </row>
    <row r="43" spans="1:5" x14ac:dyDescent="0.45">
      <c r="A43" s="239"/>
      <c r="B43" s="239"/>
      <c r="C43" s="239"/>
      <c r="D43" s="239"/>
      <c r="E43" s="239"/>
    </row>
    <row r="44" spans="1:5" x14ac:dyDescent="0.45">
      <c r="A44" s="239"/>
      <c r="B44" s="239"/>
      <c r="C44" s="239"/>
      <c r="D44" s="239"/>
      <c r="E44" s="239"/>
    </row>
    <row r="45" spans="1:5" x14ac:dyDescent="0.45">
      <c r="A45" s="239"/>
      <c r="B45" s="239"/>
      <c r="C45" s="239"/>
      <c r="D45" s="239"/>
      <c r="E45" s="239"/>
    </row>
    <row r="46" spans="1:5" x14ac:dyDescent="0.45">
      <c r="A46" s="239"/>
      <c r="B46" s="239"/>
      <c r="C46" s="239"/>
      <c r="D46" s="239"/>
      <c r="E46" s="239"/>
    </row>
    <row r="47" spans="1:5" x14ac:dyDescent="0.45">
      <c r="A47" s="239"/>
      <c r="B47" s="239"/>
      <c r="C47" s="239"/>
      <c r="D47" s="239"/>
      <c r="E47" s="239"/>
    </row>
  </sheetData>
  <mergeCells count="2">
    <mergeCell ref="A1:E1"/>
    <mergeCell ref="A30:E47"/>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E25"/>
  <sheetViews>
    <sheetView workbookViewId="0">
      <selection activeCell="J8" sqref="J8"/>
    </sheetView>
  </sheetViews>
  <sheetFormatPr defaultRowHeight="14.25" x14ac:dyDescent="0.45"/>
  <cols>
    <col min="1" max="1" width="25" customWidth="1"/>
    <col min="2" max="3" width="15" customWidth="1"/>
    <col min="4" max="4" width="20" customWidth="1"/>
    <col min="6" max="6" width="13.1328125" bestFit="1" customWidth="1"/>
  </cols>
  <sheetData>
    <row r="1" spans="1:4" x14ac:dyDescent="0.45">
      <c r="A1" s="233" t="s">
        <v>63</v>
      </c>
      <c r="B1" s="234"/>
      <c r="C1" s="234"/>
      <c r="D1" s="235"/>
    </row>
    <row r="3" spans="1:4" x14ac:dyDescent="0.45">
      <c r="A3" s="1" t="s">
        <v>64</v>
      </c>
    </row>
    <row r="4" spans="1:4" x14ac:dyDescent="0.45">
      <c r="A4" t="s">
        <v>65</v>
      </c>
      <c r="B4" s="6">
        <f>Assumptions!B8</f>
        <v>4000</v>
      </c>
      <c r="C4" t="s">
        <v>66</v>
      </c>
    </row>
    <row r="5" spans="1:4" x14ac:dyDescent="0.45">
      <c r="A5" t="s">
        <v>67</v>
      </c>
      <c r="B5" s="69" t="s">
        <v>68</v>
      </c>
    </row>
    <row r="6" spans="1:4" x14ac:dyDescent="0.45">
      <c r="A6" t="s">
        <v>69</v>
      </c>
      <c r="B6" s="3">
        <f>Biomass!A25</f>
        <v>20</v>
      </c>
      <c r="C6" t="s">
        <v>70</v>
      </c>
    </row>
    <row r="7" spans="1:4" x14ac:dyDescent="0.45">
      <c r="A7" t="s">
        <v>71</v>
      </c>
      <c r="B7" s="6">
        <f>Assumptions!B17</f>
        <v>500</v>
      </c>
      <c r="C7" t="s">
        <v>72</v>
      </c>
    </row>
    <row r="8" spans="1:4" x14ac:dyDescent="0.45">
      <c r="A8" t="s">
        <v>73</v>
      </c>
      <c r="B8" s="3">
        <f>Biomass!A28</f>
        <v>0.47</v>
      </c>
    </row>
    <row r="9" spans="1:4" x14ac:dyDescent="0.45">
      <c r="A9" t="s">
        <v>74</v>
      </c>
      <c r="B9" s="3">
        <f>Biomass!A30</f>
        <v>0.24</v>
      </c>
    </row>
    <row r="10" spans="1:4" x14ac:dyDescent="0.45">
      <c r="A10" t="s">
        <v>75</v>
      </c>
      <c r="B10" t="s">
        <v>76</v>
      </c>
      <c r="C10" t="s">
        <v>77</v>
      </c>
    </row>
    <row r="13" spans="1:4" x14ac:dyDescent="0.45">
      <c r="A13" s="1" t="s">
        <v>78</v>
      </c>
    </row>
    <row r="14" spans="1:4" ht="15.75" x14ac:dyDescent="0.55000000000000004">
      <c r="A14" s="1" t="s">
        <v>79</v>
      </c>
      <c r="B14" s="64" t="s">
        <v>80</v>
      </c>
      <c r="C14" s="64" t="s">
        <v>81</v>
      </c>
      <c r="D14" s="64" t="s">
        <v>82</v>
      </c>
    </row>
    <row r="15" spans="1:4" x14ac:dyDescent="0.45">
      <c r="A15" s="41">
        <v>5</v>
      </c>
      <c r="B15" s="108">
        <f>Eq1_Project_total!I9</f>
        <v>1032654.3333333343</v>
      </c>
      <c r="C15" s="118">
        <f>Eq30_Carbon_removals!I11</f>
        <v>213866.99136000022</v>
      </c>
      <c r="D15" s="118">
        <f>Eq34_Annualized!I8/1000</f>
        <v>213.86699136000021</v>
      </c>
    </row>
    <row r="16" spans="1:4" x14ac:dyDescent="0.45">
      <c r="A16" s="41">
        <v>10</v>
      </c>
      <c r="B16" s="108">
        <f>Eq1_Project_total!N9</f>
        <v>3084044.3333333363</v>
      </c>
      <c r="C16" s="118">
        <f>Eq30_Carbon_removals!N11</f>
        <v>184863.67680000025</v>
      </c>
      <c r="D16" s="118">
        <f>Eq34_Annualized!N8/1000</f>
        <v>184.86367680000023</v>
      </c>
    </row>
    <row r="17" spans="1:5" x14ac:dyDescent="0.45">
      <c r="A17" s="41">
        <v>15</v>
      </c>
      <c r="B17" s="108">
        <f>Eq1_Project_total!S9</f>
        <v>4881792.6666666716</v>
      </c>
      <c r="C17" s="118">
        <f>Eq30_Carbon_removals!S11</f>
        <v>189767.31840000069</v>
      </c>
      <c r="D17" s="118">
        <f>Eq34_Annualized!S8/1000</f>
        <v>189.76731840000068</v>
      </c>
    </row>
    <row r="18" spans="1:5" x14ac:dyDescent="0.45">
      <c r="A18" s="41">
        <v>20</v>
      </c>
      <c r="B18" s="108">
        <f>Eq1_Project_total!X9</f>
        <v>5869095.4666666714</v>
      </c>
      <c r="C18" s="118">
        <f>Eq30_Carbon_removals!X11</f>
        <v>78540.929280000273</v>
      </c>
      <c r="D18" s="118">
        <f>Eq34_Annualized!X8/1000</f>
        <v>78.54092928000027</v>
      </c>
    </row>
    <row r="19" spans="1:5" x14ac:dyDescent="0.45">
      <c r="B19" s="3"/>
      <c r="C19" s="3"/>
    </row>
    <row r="20" spans="1:5" x14ac:dyDescent="0.45">
      <c r="B20" s="3"/>
      <c r="C20" s="3"/>
    </row>
    <row r="21" spans="1:5" x14ac:dyDescent="0.45">
      <c r="A21" s="1" t="s">
        <v>83</v>
      </c>
      <c r="B21" s="3"/>
      <c r="C21" s="3"/>
    </row>
    <row r="22" spans="1:5" ht="15.75" x14ac:dyDescent="0.55000000000000004">
      <c r="A22" t="s">
        <v>84</v>
      </c>
      <c r="B22" s="118">
        <f>SUM(Eq30_Carbon_removals!E11:X11)</f>
        <v>3211569.0393600035</v>
      </c>
      <c r="C22" s="3"/>
    </row>
    <row r="23" spans="1:5" x14ac:dyDescent="0.45">
      <c r="A23" t="s">
        <v>85</v>
      </c>
      <c r="B23" s="118">
        <f>B22/20</f>
        <v>160578.45196800018</v>
      </c>
      <c r="C23" s="3"/>
      <c r="E23" s="122"/>
    </row>
    <row r="24" spans="1:5" x14ac:dyDescent="0.45">
      <c r="B24" s="3"/>
      <c r="C24" s="3"/>
    </row>
    <row r="25" spans="1:5" x14ac:dyDescent="0.45">
      <c r="B25" s="3"/>
      <c r="C25" s="3"/>
    </row>
  </sheetData>
  <mergeCells count="1">
    <mergeCell ref="A1:D1"/>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D5A68B-55D1-45DF-B59E-16F9EBA896F9}">
  <dimension ref="A1:X27"/>
  <sheetViews>
    <sheetView topLeftCell="B1" zoomScaleNormal="100" workbookViewId="0">
      <selection activeCell="B27" sqref="B27"/>
    </sheetView>
  </sheetViews>
  <sheetFormatPr defaultRowHeight="14.25" x14ac:dyDescent="0.45"/>
  <cols>
    <col min="1" max="1" width="15" customWidth="1"/>
    <col min="2" max="2" width="12" customWidth="1"/>
    <col min="3" max="3" width="35" customWidth="1"/>
    <col min="4" max="4" width="20" style="3" customWidth="1"/>
    <col min="5" max="24" width="11" style="3" customWidth="1"/>
  </cols>
  <sheetData>
    <row r="1" spans="1:24" x14ac:dyDescent="0.45">
      <c r="A1" s="240" t="s">
        <v>86</v>
      </c>
      <c r="B1" s="241"/>
      <c r="C1" s="241"/>
      <c r="D1" s="241"/>
      <c r="E1" s="241"/>
      <c r="F1" s="241"/>
      <c r="G1" s="241"/>
      <c r="H1" s="241"/>
      <c r="I1" s="241"/>
      <c r="J1" s="241"/>
      <c r="K1" s="241"/>
      <c r="L1" s="241"/>
      <c r="M1" s="241"/>
      <c r="N1" s="241"/>
      <c r="O1" s="241"/>
      <c r="P1" s="241"/>
      <c r="Q1" s="241"/>
      <c r="R1" s="241"/>
      <c r="S1" s="241"/>
      <c r="T1" s="241"/>
      <c r="U1" s="241"/>
      <c r="V1" s="241"/>
      <c r="W1" s="241"/>
      <c r="X1" s="241"/>
    </row>
    <row r="4" spans="1:24" x14ac:dyDescent="0.45">
      <c r="A4" s="1" t="s">
        <v>87</v>
      </c>
      <c r="B4" s="1" t="s">
        <v>88</v>
      </c>
      <c r="C4" s="68" t="s">
        <v>89</v>
      </c>
      <c r="D4" s="68" t="s">
        <v>90</v>
      </c>
      <c r="E4" s="64" t="s">
        <v>91</v>
      </c>
      <c r="F4" s="64" t="s">
        <v>92</v>
      </c>
      <c r="G4" s="64" t="s">
        <v>93</v>
      </c>
      <c r="H4" s="64" t="s">
        <v>94</v>
      </c>
      <c r="I4" s="64" t="s">
        <v>95</v>
      </c>
      <c r="J4" s="64" t="s">
        <v>96</v>
      </c>
      <c r="K4" s="64" t="s">
        <v>97</v>
      </c>
      <c r="L4" s="64" t="s">
        <v>98</v>
      </c>
      <c r="M4" s="64" t="s">
        <v>99</v>
      </c>
      <c r="N4" s="64" t="s">
        <v>100</v>
      </c>
      <c r="O4" s="64" t="s">
        <v>101</v>
      </c>
      <c r="P4" s="64" t="s">
        <v>102</v>
      </c>
      <c r="Q4" s="64" t="s">
        <v>103</v>
      </c>
      <c r="R4" s="64" t="s">
        <v>104</v>
      </c>
      <c r="S4" s="64" t="s">
        <v>105</v>
      </c>
      <c r="T4" s="64" t="s">
        <v>106</v>
      </c>
      <c r="U4" s="64" t="s">
        <v>107</v>
      </c>
      <c r="V4" s="64" t="s">
        <v>108</v>
      </c>
      <c r="W4" s="64" t="s">
        <v>109</v>
      </c>
      <c r="X4" s="64" t="s">
        <v>110</v>
      </c>
    </row>
    <row r="5" spans="1:24" x14ac:dyDescent="0.45">
      <c r="B5" s="77">
        <v>20</v>
      </c>
      <c r="C5" s="15" t="s">
        <v>111</v>
      </c>
      <c r="D5"/>
      <c r="E5" s="41"/>
      <c r="F5" s="41"/>
      <c r="G5" s="41"/>
      <c r="H5" s="41"/>
      <c r="I5" s="41"/>
      <c r="J5" s="41"/>
      <c r="K5" s="41"/>
      <c r="L5" s="41"/>
      <c r="M5" s="41"/>
      <c r="N5" s="41"/>
      <c r="O5" s="41"/>
      <c r="P5" s="41"/>
      <c r="Q5" s="41"/>
      <c r="R5" s="41"/>
      <c r="S5" s="41"/>
      <c r="T5" s="41"/>
      <c r="U5" s="41"/>
      <c r="V5" s="41"/>
      <c r="W5" s="41"/>
      <c r="X5" s="41"/>
    </row>
    <row r="6" spans="1:24" x14ac:dyDescent="0.45">
      <c r="B6" s="78">
        <f>((1000*B5)/10000)</f>
        <v>2</v>
      </c>
      <c r="C6" s="15" t="s">
        <v>112</v>
      </c>
      <c r="D6"/>
      <c r="E6" s="41"/>
      <c r="F6" s="41"/>
      <c r="G6" s="41"/>
      <c r="H6" s="41"/>
      <c r="I6" s="41"/>
      <c r="J6" s="41"/>
      <c r="K6" s="41"/>
      <c r="L6" s="41"/>
      <c r="M6" s="41"/>
      <c r="N6" s="41"/>
      <c r="O6" s="41"/>
      <c r="P6" s="41"/>
      <c r="Q6" s="41"/>
      <c r="R6" s="41"/>
      <c r="S6" s="41"/>
      <c r="T6" s="41"/>
      <c r="U6" s="41"/>
      <c r="V6" s="41"/>
      <c r="W6" s="41"/>
      <c r="X6" s="41"/>
    </row>
    <row r="7" spans="1:24" x14ac:dyDescent="0.45">
      <c r="B7" s="79">
        <f>SUM(E7:X7)</f>
        <v>1000</v>
      </c>
      <c r="C7" s="15" t="s">
        <v>113</v>
      </c>
      <c r="D7"/>
      <c r="E7" s="66">
        <v>500</v>
      </c>
      <c r="F7" s="66">
        <v>500</v>
      </c>
      <c r="G7" s="66"/>
      <c r="H7" s="66"/>
      <c r="I7" s="66"/>
      <c r="J7" s="66"/>
      <c r="K7" s="66"/>
      <c r="L7" s="66"/>
      <c r="M7" s="66"/>
      <c r="N7" s="66"/>
      <c r="O7" s="66"/>
      <c r="P7" s="66"/>
      <c r="Q7" s="66"/>
      <c r="R7" s="66"/>
      <c r="S7" s="66"/>
      <c r="T7" s="66"/>
      <c r="U7" s="66"/>
      <c r="V7" s="66"/>
      <c r="W7" s="66"/>
      <c r="X7" s="66"/>
    </row>
    <row r="8" spans="1:24" x14ac:dyDescent="0.45">
      <c r="B8" s="79">
        <f>X8</f>
        <v>4000</v>
      </c>
      <c r="C8" s="15" t="s">
        <v>114</v>
      </c>
      <c r="D8"/>
      <c r="E8" s="60">
        <f>E9</f>
        <v>2000</v>
      </c>
      <c r="F8" s="60">
        <f t="shared" ref="F8:X8" si="0">IF(F9&gt;0,E8+E9,E8)</f>
        <v>4000</v>
      </c>
      <c r="G8" s="60">
        <f t="shared" si="0"/>
        <v>4000</v>
      </c>
      <c r="H8" s="60">
        <f t="shared" si="0"/>
        <v>4000</v>
      </c>
      <c r="I8" s="60">
        <f t="shared" si="0"/>
        <v>4000</v>
      </c>
      <c r="J8" s="60">
        <f t="shared" si="0"/>
        <v>4000</v>
      </c>
      <c r="K8" s="60">
        <f t="shared" si="0"/>
        <v>4000</v>
      </c>
      <c r="L8" s="60">
        <f t="shared" si="0"/>
        <v>4000</v>
      </c>
      <c r="M8" s="60">
        <f t="shared" si="0"/>
        <v>4000</v>
      </c>
      <c r="N8" s="60">
        <f t="shared" si="0"/>
        <v>4000</v>
      </c>
      <c r="O8" s="60">
        <f t="shared" si="0"/>
        <v>4000</v>
      </c>
      <c r="P8" s="60">
        <f t="shared" si="0"/>
        <v>4000</v>
      </c>
      <c r="Q8" s="60">
        <f t="shared" si="0"/>
        <v>4000</v>
      </c>
      <c r="R8" s="60">
        <f t="shared" si="0"/>
        <v>4000</v>
      </c>
      <c r="S8" s="60">
        <f t="shared" si="0"/>
        <v>4000</v>
      </c>
      <c r="T8" s="60">
        <f t="shared" si="0"/>
        <v>4000</v>
      </c>
      <c r="U8" s="60">
        <f t="shared" si="0"/>
        <v>4000</v>
      </c>
      <c r="V8" s="60">
        <f t="shared" si="0"/>
        <v>4000</v>
      </c>
      <c r="W8" s="60">
        <f t="shared" si="0"/>
        <v>4000</v>
      </c>
      <c r="X8" s="60">
        <f t="shared" si="0"/>
        <v>4000</v>
      </c>
    </row>
    <row r="9" spans="1:24" x14ac:dyDescent="0.45">
      <c r="B9" s="10"/>
      <c r="C9" s="15" t="s">
        <v>115</v>
      </c>
      <c r="D9"/>
      <c r="E9" s="60">
        <f>E7*$B6*2</f>
        <v>2000</v>
      </c>
      <c r="F9" s="60">
        <f t="shared" ref="F9:X9" si="1">F7*$B6*2</f>
        <v>2000</v>
      </c>
      <c r="G9" s="60">
        <f t="shared" si="1"/>
        <v>0</v>
      </c>
      <c r="H9" s="60">
        <f t="shared" si="1"/>
        <v>0</v>
      </c>
      <c r="I9" s="60">
        <f t="shared" si="1"/>
        <v>0</v>
      </c>
      <c r="J9" s="60">
        <f t="shared" si="1"/>
        <v>0</v>
      </c>
      <c r="K9" s="60">
        <f t="shared" si="1"/>
        <v>0</v>
      </c>
      <c r="L9" s="60">
        <f t="shared" si="1"/>
        <v>0</v>
      </c>
      <c r="M9" s="60">
        <f t="shared" si="1"/>
        <v>0</v>
      </c>
      <c r="N9" s="60">
        <f t="shared" si="1"/>
        <v>0</v>
      </c>
      <c r="O9" s="60">
        <f t="shared" si="1"/>
        <v>0</v>
      </c>
      <c r="P9" s="60">
        <f t="shared" si="1"/>
        <v>0</v>
      </c>
      <c r="Q9" s="60">
        <f t="shared" si="1"/>
        <v>0</v>
      </c>
      <c r="R9" s="60">
        <f t="shared" si="1"/>
        <v>0</v>
      </c>
      <c r="S9" s="60">
        <f t="shared" si="1"/>
        <v>0</v>
      </c>
      <c r="T9" s="60">
        <f t="shared" si="1"/>
        <v>0</v>
      </c>
      <c r="U9" s="60">
        <f t="shared" si="1"/>
        <v>0</v>
      </c>
      <c r="V9" s="60">
        <f t="shared" si="1"/>
        <v>0</v>
      </c>
      <c r="W9" s="60">
        <f t="shared" si="1"/>
        <v>0</v>
      </c>
      <c r="X9" s="60">
        <f t="shared" si="1"/>
        <v>0</v>
      </c>
    </row>
    <row r="10" spans="1:24" ht="15.75" x14ac:dyDescent="0.55000000000000004">
      <c r="B10" s="11">
        <v>20</v>
      </c>
      <c r="C10" s="15" t="s">
        <v>116</v>
      </c>
      <c r="D10" s="123">
        <f>Total_Summary!B23/Assumptions!B8</f>
        <v>40.144612992000049</v>
      </c>
      <c r="E10" s="41"/>
      <c r="F10" s="41"/>
      <c r="G10" s="41"/>
      <c r="H10" s="41"/>
      <c r="I10" s="41"/>
      <c r="J10" s="41"/>
      <c r="K10" s="41"/>
      <c r="L10" s="41"/>
      <c r="M10" s="41"/>
      <c r="N10" s="41"/>
      <c r="O10" s="41"/>
      <c r="P10" s="41"/>
      <c r="Q10" s="41"/>
      <c r="R10" s="41"/>
      <c r="S10" s="41"/>
      <c r="T10" s="41"/>
      <c r="U10" s="41"/>
      <c r="V10" s="41"/>
      <c r="W10" s="41"/>
      <c r="X10" s="41"/>
    </row>
    <row r="11" spans="1:24" ht="15.75" x14ac:dyDescent="0.55000000000000004">
      <c r="B11" s="80">
        <v>10</v>
      </c>
      <c r="C11" s="15" t="s">
        <v>117</v>
      </c>
      <c r="D11"/>
      <c r="E11" s="41"/>
      <c r="F11" s="41"/>
      <c r="G11" s="41"/>
      <c r="H11" s="41"/>
      <c r="I11" s="41"/>
      <c r="J11" s="41"/>
      <c r="K11" s="41"/>
      <c r="L11" s="41"/>
      <c r="M11" s="41"/>
      <c r="N11" s="41"/>
      <c r="O11" s="41"/>
      <c r="P11" s="41"/>
      <c r="Q11" s="41"/>
      <c r="R11" s="41"/>
      <c r="S11" s="41"/>
      <c r="T11" s="41"/>
      <c r="U11" s="41"/>
      <c r="V11" s="41"/>
      <c r="W11" s="41"/>
      <c r="X11" s="41"/>
    </row>
    <row r="12" spans="1:24" x14ac:dyDescent="0.45">
      <c r="B12" s="81">
        <v>0.05</v>
      </c>
      <c r="C12" s="15" t="s">
        <v>118</v>
      </c>
      <c r="D12"/>
      <c r="E12" s="41"/>
      <c r="F12" s="41"/>
      <c r="G12" s="41"/>
      <c r="H12" s="41"/>
      <c r="I12" s="41"/>
      <c r="J12" s="41"/>
      <c r="K12" s="41"/>
      <c r="L12" s="41"/>
      <c r="M12" s="41"/>
      <c r="N12" s="41"/>
      <c r="O12" s="41"/>
      <c r="P12" s="41"/>
      <c r="Q12" s="41"/>
      <c r="R12" s="41"/>
      <c r="S12" s="41"/>
      <c r="T12" s="41"/>
      <c r="U12" s="41"/>
      <c r="V12" s="41"/>
      <c r="W12" s="41"/>
      <c r="X12" s="41"/>
    </row>
    <row r="13" spans="1:24" x14ac:dyDescent="0.45">
      <c r="B13" s="11">
        <v>20</v>
      </c>
      <c r="C13" s="15" t="s">
        <v>119</v>
      </c>
      <c r="D13"/>
      <c r="E13" s="41"/>
      <c r="F13" s="41"/>
      <c r="G13" s="41"/>
      <c r="H13" s="41"/>
      <c r="I13" s="41"/>
      <c r="J13" s="41"/>
      <c r="K13" s="41"/>
      <c r="L13" s="41"/>
      <c r="M13" s="41"/>
      <c r="N13" s="41"/>
      <c r="O13" s="41"/>
      <c r="P13" s="41"/>
      <c r="Q13" s="41"/>
      <c r="R13" s="41"/>
      <c r="S13" s="41"/>
      <c r="T13" s="41"/>
      <c r="U13" s="41"/>
      <c r="V13" s="41"/>
      <c r="W13" s="41"/>
      <c r="X13" s="41"/>
    </row>
    <row r="14" spans="1:24" x14ac:dyDescent="0.45">
      <c r="B14" s="12">
        <v>0.08</v>
      </c>
      <c r="C14" s="15" t="s">
        <v>120</v>
      </c>
      <c r="D14"/>
      <c r="E14" s="41"/>
      <c r="F14" s="41"/>
      <c r="G14" s="41"/>
      <c r="H14" s="41"/>
      <c r="I14" s="41"/>
      <c r="J14" s="41"/>
      <c r="K14" s="41"/>
      <c r="L14" s="41"/>
      <c r="M14" s="41"/>
      <c r="N14" s="41"/>
      <c r="O14" s="41"/>
      <c r="P14" s="41"/>
      <c r="Q14" s="41"/>
      <c r="R14" s="41"/>
      <c r="S14" s="41"/>
      <c r="T14" s="41"/>
      <c r="U14" s="41"/>
      <c r="V14" s="41"/>
      <c r="W14" s="41"/>
      <c r="X14" s="41"/>
    </row>
    <row r="15" spans="1:24" x14ac:dyDescent="0.45">
      <c r="B15" s="11">
        <v>2</v>
      </c>
      <c r="C15" s="15" t="s">
        <v>121</v>
      </c>
      <c r="D15"/>
      <c r="E15" s="41"/>
      <c r="F15" s="41"/>
      <c r="G15" s="41"/>
      <c r="H15" s="41"/>
      <c r="I15" s="41"/>
      <c r="J15" s="41"/>
      <c r="K15" s="41"/>
      <c r="L15" s="41"/>
      <c r="M15" s="41"/>
      <c r="N15" s="41"/>
      <c r="O15" s="41"/>
      <c r="P15" s="41"/>
      <c r="Q15" s="41"/>
      <c r="R15" s="41"/>
      <c r="S15" s="41"/>
      <c r="T15" s="41"/>
      <c r="U15" s="41"/>
      <c r="V15" s="41"/>
      <c r="W15" s="41"/>
      <c r="X15" s="41"/>
    </row>
    <row r="16" spans="1:24" x14ac:dyDescent="0.45">
      <c r="B16" s="82"/>
      <c r="C16" s="5"/>
      <c r="D16"/>
      <c r="E16" s="41"/>
      <c r="F16" s="41"/>
      <c r="G16" s="41"/>
      <c r="H16" s="41"/>
      <c r="I16" s="41"/>
      <c r="J16" s="41"/>
      <c r="K16" s="41"/>
      <c r="L16" s="41"/>
      <c r="M16" s="41"/>
      <c r="N16" s="41"/>
      <c r="O16" s="41"/>
      <c r="P16" s="41"/>
      <c r="Q16" s="41"/>
      <c r="R16" s="41"/>
      <c r="S16" s="41"/>
      <c r="T16" s="41"/>
      <c r="U16" s="41"/>
      <c r="V16" s="41"/>
      <c r="W16" s="41"/>
      <c r="X16" s="41"/>
    </row>
    <row r="17" spans="2:24" x14ac:dyDescent="0.45">
      <c r="B17" s="11">
        <v>500</v>
      </c>
      <c r="C17" s="15" t="s">
        <v>122</v>
      </c>
      <c r="D17" t="s">
        <v>123</v>
      </c>
      <c r="E17" s="41"/>
      <c r="F17" s="41"/>
      <c r="G17" s="41"/>
      <c r="H17" s="41"/>
      <c r="I17" s="41"/>
      <c r="J17" s="41"/>
      <c r="K17" s="41"/>
      <c r="L17" s="41"/>
      <c r="M17" s="41"/>
      <c r="N17" s="41"/>
      <c r="O17" s="41"/>
      <c r="P17" s="41"/>
      <c r="Q17" s="41"/>
      <c r="R17" s="41"/>
      <c r="S17" s="41"/>
      <c r="T17" s="41"/>
      <c r="U17" s="41"/>
      <c r="V17" s="41"/>
      <c r="W17" s="41"/>
      <c r="X17" s="41"/>
    </row>
    <row r="18" spans="2:24" x14ac:dyDescent="0.45">
      <c r="B18" s="10">
        <f>B17/(10/B5)</f>
        <v>1000</v>
      </c>
      <c r="C18" s="15" t="s">
        <v>124</v>
      </c>
      <c r="D18"/>
      <c r="E18" s="41"/>
      <c r="F18" s="41"/>
      <c r="G18" s="41"/>
      <c r="H18" s="41"/>
      <c r="I18" s="41"/>
      <c r="J18" s="41"/>
      <c r="K18" s="41"/>
      <c r="L18" s="41"/>
      <c r="M18" s="41"/>
      <c r="N18" s="41"/>
      <c r="O18" s="41"/>
      <c r="P18" s="41"/>
      <c r="Q18" s="41"/>
      <c r="R18" s="41"/>
      <c r="S18" s="41"/>
      <c r="T18" s="41"/>
      <c r="U18" s="41"/>
      <c r="V18" s="41"/>
      <c r="W18" s="41"/>
      <c r="X18" s="41"/>
    </row>
    <row r="19" spans="2:24" x14ac:dyDescent="0.45">
      <c r="B19" s="10">
        <f>B18*B7</f>
        <v>1000000</v>
      </c>
      <c r="C19" s="15" t="s">
        <v>125</v>
      </c>
      <c r="D19"/>
      <c r="E19" s="41"/>
      <c r="F19" s="41"/>
      <c r="G19" s="41"/>
      <c r="H19" s="41"/>
      <c r="I19" s="41"/>
      <c r="J19" s="41"/>
      <c r="K19" s="41"/>
      <c r="L19" s="41"/>
      <c r="M19" s="41"/>
      <c r="N19" s="41"/>
      <c r="O19" s="41"/>
      <c r="P19" s="41"/>
      <c r="Q19" s="41"/>
      <c r="R19" s="41"/>
      <c r="S19" s="41"/>
      <c r="T19" s="41"/>
      <c r="U19" s="41"/>
      <c r="V19" s="41"/>
      <c r="W19" s="41"/>
      <c r="X19" s="41"/>
    </row>
    <row r="20" spans="2:24" x14ac:dyDescent="0.45">
      <c r="B20" s="82"/>
      <c r="D20"/>
      <c r="E20" s="41"/>
      <c r="F20" s="41"/>
      <c r="G20" s="41"/>
      <c r="H20" s="41"/>
      <c r="I20" s="41"/>
      <c r="J20" s="41"/>
      <c r="K20" s="41"/>
      <c r="L20" s="41"/>
      <c r="M20" s="41"/>
      <c r="N20" s="41"/>
      <c r="O20" s="41"/>
      <c r="P20" s="41"/>
      <c r="Q20" s="41"/>
      <c r="R20" s="41"/>
      <c r="S20" s="41"/>
      <c r="T20" s="41"/>
      <c r="U20" s="41"/>
      <c r="V20" s="41"/>
      <c r="W20" s="41"/>
      <c r="X20" s="41"/>
    </row>
    <row r="21" spans="2:24" x14ac:dyDescent="0.45">
      <c r="B21" s="12">
        <v>0.5</v>
      </c>
      <c r="C21" s="15" t="s">
        <v>75</v>
      </c>
      <c r="D21" t="s">
        <v>126</v>
      </c>
      <c r="E21" s="41"/>
      <c r="F21" s="41"/>
      <c r="G21" s="41"/>
      <c r="H21" s="41"/>
      <c r="I21" s="41"/>
      <c r="J21" s="41"/>
      <c r="K21" s="41"/>
      <c r="L21" s="41"/>
      <c r="M21" s="41"/>
      <c r="N21" s="41"/>
      <c r="O21" s="41"/>
      <c r="P21" s="41"/>
      <c r="Q21" s="41"/>
      <c r="R21" s="41"/>
      <c r="S21" s="41"/>
      <c r="T21" s="41"/>
      <c r="U21" s="41"/>
      <c r="V21" s="41"/>
      <c r="W21" s="41"/>
      <c r="X21" s="41"/>
    </row>
    <row r="22" spans="2:24" x14ac:dyDescent="0.45">
      <c r="B22" s="82"/>
      <c r="D22"/>
      <c r="E22" s="41"/>
      <c r="F22" s="41"/>
      <c r="G22" s="41"/>
      <c r="H22" s="41"/>
      <c r="I22" s="41"/>
      <c r="J22" s="41"/>
      <c r="K22" s="41"/>
      <c r="L22" s="41"/>
      <c r="M22" s="41"/>
      <c r="N22" s="41"/>
      <c r="O22" s="41"/>
      <c r="P22" s="41"/>
      <c r="Q22" s="41"/>
      <c r="R22" s="41"/>
      <c r="S22" s="41"/>
      <c r="T22" s="41"/>
      <c r="U22" s="41"/>
      <c r="V22" s="41"/>
      <c r="W22" s="41"/>
      <c r="X22" s="41"/>
    </row>
    <row r="23" spans="2:24" x14ac:dyDescent="0.45">
      <c r="B23" s="11">
        <v>10</v>
      </c>
      <c r="C23" s="15" t="s">
        <v>127</v>
      </c>
      <c r="D23" t="s">
        <v>128</v>
      </c>
      <c r="E23" s="41"/>
      <c r="F23" s="41"/>
      <c r="G23" s="41"/>
      <c r="H23" s="41"/>
      <c r="I23" s="41"/>
      <c r="J23" s="41"/>
      <c r="K23" s="41"/>
      <c r="L23" s="41"/>
      <c r="M23" s="41"/>
      <c r="N23" s="41"/>
      <c r="O23" s="41"/>
      <c r="P23" s="41"/>
      <c r="Q23" s="41"/>
      <c r="R23" s="41"/>
      <c r="S23" s="41"/>
      <c r="T23" s="41"/>
      <c r="U23" s="41"/>
      <c r="V23" s="41"/>
      <c r="W23" s="41"/>
      <c r="X23" s="41"/>
    </row>
    <row r="25" spans="2:24" x14ac:dyDescent="0.45">
      <c r="B25" s="127">
        <v>0.46</v>
      </c>
      <c r="C25" t="s">
        <v>129</v>
      </c>
    </row>
    <row r="27" spans="2:24" x14ac:dyDescent="0.45">
      <c r="B27" s="139">
        <v>5</v>
      </c>
      <c r="C27" t="s">
        <v>130</v>
      </c>
    </row>
  </sheetData>
  <mergeCells count="1">
    <mergeCell ref="A1:X1"/>
  </mergeCells>
  <phoneticPr fontId="8" type="noConversion"/>
  <pageMargins left="0.75" right="0.75" top="1" bottom="1" header="0.5" footer="0.5"/>
  <pageSetup paperSize="9" orientation="portrait" verticalDpi="0" r:id="rId1"/>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70ABD2-D213-49E5-B1A4-FB6332B5EE26}">
  <dimension ref="A1:O40"/>
  <sheetViews>
    <sheetView workbookViewId="0">
      <selection activeCell="F3" sqref="F3"/>
    </sheetView>
  </sheetViews>
  <sheetFormatPr defaultRowHeight="14.25" x14ac:dyDescent="0.45"/>
  <cols>
    <col min="1" max="1" width="16" customWidth="1"/>
    <col min="2" max="2" width="8.86328125" customWidth="1"/>
    <col min="3" max="4" width="16" customWidth="1"/>
    <col min="5" max="5" width="17.796875" customWidth="1"/>
    <col min="6" max="6" width="19.53125" customWidth="1"/>
    <col min="7" max="7" width="14.19921875" customWidth="1"/>
    <col min="8" max="8" width="16" customWidth="1"/>
  </cols>
  <sheetData>
    <row r="1" spans="1:15" x14ac:dyDescent="0.45">
      <c r="A1" s="197" t="s">
        <v>474</v>
      </c>
      <c r="B1" s="196"/>
      <c r="C1" s="196"/>
      <c r="D1" s="196"/>
      <c r="E1" s="196"/>
      <c r="F1" s="196"/>
      <c r="G1" s="196"/>
      <c r="H1" s="196"/>
      <c r="I1" s="221"/>
      <c r="J1" s="221"/>
    </row>
    <row r="2" spans="1:15" x14ac:dyDescent="0.45">
      <c r="A2" s="242" t="s">
        <v>131</v>
      </c>
      <c r="B2" s="243"/>
      <c r="C2" s="243"/>
      <c r="D2" s="244"/>
      <c r="E2" s="191">
        <v>5</v>
      </c>
      <c r="F2" s="190"/>
      <c r="G2" s="190"/>
      <c r="H2" s="190"/>
      <c r="I2" s="192"/>
      <c r="J2" s="221"/>
      <c r="O2" s="3"/>
    </row>
    <row r="3" spans="1:15" ht="28.5" x14ac:dyDescent="0.45">
      <c r="A3" s="198" t="s">
        <v>132</v>
      </c>
      <c r="B3" s="199" t="s">
        <v>475</v>
      </c>
      <c r="C3" s="198" t="s">
        <v>476</v>
      </c>
      <c r="D3" s="198" t="s">
        <v>477</v>
      </c>
      <c r="E3" s="198" t="s">
        <v>478</v>
      </c>
      <c r="F3" s="198" t="s">
        <v>479</v>
      </c>
      <c r="G3" s="198" t="s">
        <v>480</v>
      </c>
      <c r="H3" s="205" t="s">
        <v>481</v>
      </c>
      <c r="I3" s="204"/>
      <c r="J3" s="204"/>
      <c r="K3" s="200" t="s">
        <v>90</v>
      </c>
      <c r="L3" s="4"/>
      <c r="M3" s="222">
        <f>Total_Summary!B22/Assumptions!B8</f>
        <v>802.89225984000086</v>
      </c>
      <c r="N3" s="3"/>
      <c r="O3" s="3"/>
    </row>
    <row r="4" spans="1:15" x14ac:dyDescent="0.45">
      <c r="A4" s="206">
        <v>5</v>
      </c>
      <c r="B4" s="195">
        <v>1</v>
      </c>
      <c r="C4" s="212">
        <f>+A4*(B4-1)</f>
        <v>0</v>
      </c>
      <c r="D4" s="213">
        <f>+C4+Assumptions!$B$27</f>
        <v>5</v>
      </c>
      <c r="E4" s="213">
        <f>+D4*A4</f>
        <v>25</v>
      </c>
      <c r="F4" s="228">
        <f>10000/D4</f>
        <v>2000</v>
      </c>
      <c r="G4" s="209">
        <f>+F4/A4*B4</f>
        <v>400</v>
      </c>
      <c r="H4" s="218">
        <f>+A4*A4</f>
        <v>25</v>
      </c>
      <c r="I4" s="192"/>
      <c r="J4" s="192"/>
      <c r="K4" s="203" t="s">
        <v>482</v>
      </c>
      <c r="L4" s="4"/>
      <c r="M4" s="4"/>
      <c r="N4" s="3"/>
      <c r="O4" s="3"/>
    </row>
    <row r="5" spans="1:15" x14ac:dyDescent="0.45">
      <c r="A5" s="207">
        <v>5</v>
      </c>
      <c r="B5" s="193">
        <v>2</v>
      </c>
      <c r="C5" s="214">
        <f>+A5*(B5-1)</f>
        <v>5</v>
      </c>
      <c r="D5" s="215">
        <f>+C5+Assumptions!$B$27</f>
        <v>10</v>
      </c>
      <c r="E5" s="215">
        <f t="shared" ref="E5:E8" si="0">+D5*A5</f>
        <v>50</v>
      </c>
      <c r="F5" s="229">
        <f>10000/D5</f>
        <v>1000</v>
      </c>
      <c r="G5" s="210">
        <f>+F5/A5*B5</f>
        <v>400</v>
      </c>
      <c r="H5" s="219">
        <f>+A5*A5</f>
        <v>25</v>
      </c>
      <c r="I5" s="192"/>
      <c r="J5" s="192"/>
      <c r="K5" s="201" t="s">
        <v>483</v>
      </c>
      <c r="L5" s="4"/>
      <c r="M5" s="4"/>
      <c r="N5" s="3"/>
      <c r="O5" s="3"/>
    </row>
    <row r="6" spans="1:15" x14ac:dyDescent="0.45">
      <c r="A6" s="207">
        <v>5</v>
      </c>
      <c r="B6" s="193">
        <v>3</v>
      </c>
      <c r="C6" s="214">
        <f>+A6*(B6-1)</f>
        <v>10</v>
      </c>
      <c r="D6" s="215">
        <f>+C6+Assumptions!$B$27</f>
        <v>15</v>
      </c>
      <c r="E6" s="215">
        <f t="shared" si="0"/>
        <v>75</v>
      </c>
      <c r="F6" s="229">
        <f>10000/D6</f>
        <v>666.66666666666663</v>
      </c>
      <c r="G6" s="210">
        <f>+F6/A6*B6</f>
        <v>399.99999999999994</v>
      </c>
      <c r="H6" s="219">
        <f>+A6*A6</f>
        <v>25</v>
      </c>
      <c r="I6" s="192"/>
      <c r="J6" s="192"/>
      <c r="K6" s="201" t="s">
        <v>484</v>
      </c>
      <c r="L6" s="4"/>
      <c r="M6" s="4"/>
      <c r="N6" s="3"/>
      <c r="O6" s="3"/>
    </row>
    <row r="7" spans="1:15" x14ac:dyDescent="0.45">
      <c r="A7" s="207">
        <v>5</v>
      </c>
      <c r="B7" s="193">
        <v>4</v>
      </c>
      <c r="C7" s="214">
        <f>+A7*(B7-1)</f>
        <v>15</v>
      </c>
      <c r="D7" s="215">
        <f>+C7+Assumptions!$B$27</f>
        <v>20</v>
      </c>
      <c r="E7" s="215">
        <f t="shared" si="0"/>
        <v>100</v>
      </c>
      <c r="F7" s="229">
        <f>10000/D7</f>
        <v>500</v>
      </c>
      <c r="G7" s="210">
        <f>+F7/A7*B7</f>
        <v>400</v>
      </c>
      <c r="H7" s="219">
        <f>+A7*A7</f>
        <v>25</v>
      </c>
      <c r="I7" s="192"/>
      <c r="J7" s="192"/>
      <c r="K7" s="202" t="s">
        <v>485</v>
      </c>
      <c r="L7" s="4"/>
      <c r="M7" s="4"/>
      <c r="N7" s="3"/>
      <c r="O7" s="3"/>
    </row>
    <row r="8" spans="1:15" x14ac:dyDescent="0.45">
      <c r="A8" s="208">
        <v>5</v>
      </c>
      <c r="B8" s="194">
        <v>5</v>
      </c>
      <c r="C8" s="216">
        <f>+A8*(B8-1)</f>
        <v>20</v>
      </c>
      <c r="D8" s="217">
        <f>+C8+Assumptions!$B$27</f>
        <v>25</v>
      </c>
      <c r="E8" s="217">
        <f t="shared" si="0"/>
        <v>125</v>
      </c>
      <c r="F8" s="230">
        <f>10000/D8</f>
        <v>400</v>
      </c>
      <c r="G8" s="211">
        <f>+F8/A8*B8</f>
        <v>400</v>
      </c>
      <c r="H8" s="220">
        <f>+A8*A8</f>
        <v>25</v>
      </c>
      <c r="I8" s="192"/>
      <c r="J8" s="192"/>
      <c r="K8" s="221"/>
      <c r="L8" s="221"/>
      <c r="M8" s="221"/>
      <c r="N8" s="3"/>
      <c r="O8" s="3"/>
    </row>
    <row r="9" spans="1:15" x14ac:dyDescent="0.45">
      <c r="A9" s="225"/>
      <c r="B9" s="226"/>
      <c r="C9" s="225"/>
      <c r="D9" s="225"/>
      <c r="E9" s="225"/>
      <c r="F9" s="227"/>
      <c r="G9" s="227"/>
      <c r="H9" s="223"/>
      <c r="I9" s="192"/>
      <c r="J9" s="192"/>
      <c r="K9" s="221"/>
      <c r="L9" s="221"/>
      <c r="M9" s="221"/>
      <c r="N9" s="3"/>
      <c r="O9" s="3"/>
    </row>
    <row r="10" spans="1:15" x14ac:dyDescent="0.45">
      <c r="A10" s="206">
        <v>4</v>
      </c>
      <c r="B10" s="195">
        <v>1</v>
      </c>
      <c r="C10" s="212">
        <f>+A10*(B10-1)</f>
        <v>0</v>
      </c>
      <c r="D10" s="213">
        <f>+C10+Assumptions!$B$27</f>
        <v>5</v>
      </c>
      <c r="E10" s="213">
        <f>+D10*A10</f>
        <v>20</v>
      </c>
      <c r="F10" s="228">
        <f>10000/D10</f>
        <v>2000</v>
      </c>
      <c r="G10" s="209">
        <f>+F10/A10*B10</f>
        <v>500</v>
      </c>
      <c r="H10" s="218">
        <f>+A10*A10</f>
        <v>16</v>
      </c>
      <c r="I10" s="192"/>
      <c r="J10" s="192"/>
      <c r="K10" s="221"/>
      <c r="L10" s="221"/>
      <c r="M10" s="221"/>
      <c r="N10" s="3"/>
      <c r="O10" s="3"/>
    </row>
    <row r="11" spans="1:15" x14ac:dyDescent="0.45">
      <c r="A11" s="207">
        <f>+A10</f>
        <v>4</v>
      </c>
      <c r="B11" s="193">
        <v>2</v>
      </c>
      <c r="C11" s="214">
        <f>+A11*(B11-1)</f>
        <v>4</v>
      </c>
      <c r="D11" s="215">
        <f>+C11+Assumptions!$B$27</f>
        <v>9</v>
      </c>
      <c r="E11" s="215">
        <f t="shared" ref="E11:E14" si="1">+D11*A11</f>
        <v>36</v>
      </c>
      <c r="F11" s="229">
        <f>10000/D11</f>
        <v>1111.1111111111111</v>
      </c>
      <c r="G11" s="210">
        <f>+F11/A11*B11</f>
        <v>555.55555555555554</v>
      </c>
      <c r="H11" s="219">
        <f>+A11*A11</f>
        <v>16</v>
      </c>
      <c r="I11" s="192"/>
      <c r="J11" s="192"/>
      <c r="K11" s="221"/>
      <c r="L11" s="221"/>
      <c r="M11" s="221"/>
      <c r="N11" s="3"/>
      <c r="O11" s="3"/>
    </row>
    <row r="12" spans="1:15" x14ac:dyDescent="0.45">
      <c r="A12" s="207">
        <f>+A11</f>
        <v>4</v>
      </c>
      <c r="B12" s="193">
        <v>3</v>
      </c>
      <c r="C12" s="214">
        <f>+A12*(B12-1)</f>
        <v>8</v>
      </c>
      <c r="D12" s="215">
        <f>+C12+Assumptions!$B$27</f>
        <v>13</v>
      </c>
      <c r="E12" s="215">
        <f t="shared" si="1"/>
        <v>52</v>
      </c>
      <c r="F12" s="229">
        <f>10000/D12</f>
        <v>769.23076923076928</v>
      </c>
      <c r="G12" s="210">
        <f>+F12/A12*B12</f>
        <v>576.92307692307691</v>
      </c>
      <c r="H12" s="219">
        <f>+A12*A12</f>
        <v>16</v>
      </c>
      <c r="I12" s="192"/>
      <c r="J12" s="192"/>
      <c r="K12" s="221"/>
      <c r="L12" s="221"/>
      <c r="M12" s="221"/>
      <c r="N12" s="3"/>
      <c r="O12" s="3"/>
    </row>
    <row r="13" spans="1:15" x14ac:dyDescent="0.45">
      <c r="A13" s="207">
        <f>+A12</f>
        <v>4</v>
      </c>
      <c r="B13" s="193">
        <v>4</v>
      </c>
      <c r="C13" s="214">
        <f>+A13*(B13-1)</f>
        <v>12</v>
      </c>
      <c r="D13" s="215">
        <f>+C13+Assumptions!$B$27</f>
        <v>17</v>
      </c>
      <c r="E13" s="215">
        <f t="shared" si="1"/>
        <v>68</v>
      </c>
      <c r="F13" s="229">
        <f>10000/D13</f>
        <v>588.23529411764707</v>
      </c>
      <c r="G13" s="210">
        <f>+F13/A13*B13</f>
        <v>588.23529411764707</v>
      </c>
      <c r="H13" s="219">
        <f>+A13*A13</f>
        <v>16</v>
      </c>
      <c r="I13" s="192"/>
      <c r="J13" s="192"/>
      <c r="K13" s="221"/>
      <c r="L13" s="221"/>
      <c r="M13" s="221"/>
      <c r="N13" s="3"/>
      <c r="O13" s="3"/>
    </row>
    <row r="14" spans="1:15" x14ac:dyDescent="0.45">
      <c r="A14" s="208">
        <f>+A13</f>
        <v>4</v>
      </c>
      <c r="B14" s="194">
        <v>5</v>
      </c>
      <c r="C14" s="216">
        <f>+A14*(B14-1)</f>
        <v>16</v>
      </c>
      <c r="D14" s="217">
        <f>+C14+Assumptions!$B$27</f>
        <v>21</v>
      </c>
      <c r="E14" s="217">
        <f t="shared" si="1"/>
        <v>84</v>
      </c>
      <c r="F14" s="230">
        <f>10000/D14</f>
        <v>476.1904761904762</v>
      </c>
      <c r="G14" s="211">
        <f>+F14/A14*B14</f>
        <v>595.2380952380953</v>
      </c>
      <c r="H14" s="220">
        <f>+A14*A14</f>
        <v>16</v>
      </c>
      <c r="I14" s="192"/>
      <c r="J14" s="192"/>
      <c r="K14" s="221"/>
      <c r="L14" s="221"/>
      <c r="M14" s="221"/>
      <c r="N14" s="3"/>
      <c r="O14" s="3"/>
    </row>
    <row r="15" spans="1:15" x14ac:dyDescent="0.45">
      <c r="A15" s="223"/>
      <c r="B15" s="192"/>
      <c r="C15" s="223"/>
      <c r="D15" s="223"/>
      <c r="E15" s="223"/>
      <c r="F15" s="224"/>
      <c r="G15" s="224"/>
      <c r="H15" s="223"/>
      <c r="I15" s="192"/>
      <c r="J15" s="192"/>
      <c r="K15" s="221"/>
      <c r="L15" s="221"/>
      <c r="M15" s="221"/>
      <c r="N15" s="3"/>
      <c r="O15" s="3"/>
    </row>
    <row r="16" spans="1:15" x14ac:dyDescent="0.45">
      <c r="A16" s="206">
        <v>4.3</v>
      </c>
      <c r="B16" s="195">
        <v>1</v>
      </c>
      <c r="C16" s="212">
        <f>+A16*(B16-1)</f>
        <v>0</v>
      </c>
      <c r="D16" s="213">
        <f>+C16+Assumptions!$B$27</f>
        <v>5</v>
      </c>
      <c r="E16" s="213">
        <f>+D16*A16</f>
        <v>21.5</v>
      </c>
      <c r="F16" s="228">
        <f>10000/D16</f>
        <v>2000</v>
      </c>
      <c r="G16" s="209">
        <f>+F16/A16*B16</f>
        <v>465.11627906976747</v>
      </c>
      <c r="H16" s="218">
        <f>+A16*A16</f>
        <v>18.489999999999998</v>
      </c>
      <c r="I16" s="192"/>
      <c r="J16" s="192"/>
      <c r="K16" s="221"/>
      <c r="L16" s="221"/>
      <c r="M16" s="221"/>
      <c r="N16" s="3"/>
      <c r="O16" s="3"/>
    </row>
    <row r="17" spans="1:15" x14ac:dyDescent="0.45">
      <c r="A17" s="207">
        <f>+A16</f>
        <v>4.3</v>
      </c>
      <c r="B17" s="193">
        <v>2</v>
      </c>
      <c r="C17" s="214">
        <f>+A17*(B17-1)</f>
        <v>4.3</v>
      </c>
      <c r="D17" s="215">
        <f>+C17+Assumptions!$B$27</f>
        <v>9.3000000000000007</v>
      </c>
      <c r="E17" s="215">
        <f t="shared" ref="E17:E20" si="2">+D17*A17</f>
        <v>39.99</v>
      </c>
      <c r="F17" s="229">
        <f>10000/D17</f>
        <v>1075.2688172043011</v>
      </c>
      <c r="G17" s="210">
        <f>+F17/A17*B17</f>
        <v>500.12503125781444</v>
      </c>
      <c r="H17" s="219">
        <f>+A17*A17</f>
        <v>18.489999999999998</v>
      </c>
      <c r="I17" s="192"/>
      <c r="J17" s="192"/>
      <c r="K17" s="221"/>
      <c r="L17" s="221"/>
      <c r="M17" s="221"/>
      <c r="N17" s="3"/>
      <c r="O17" s="3"/>
    </row>
    <row r="18" spans="1:15" x14ac:dyDescent="0.45">
      <c r="A18" s="207">
        <f>+A17</f>
        <v>4.3</v>
      </c>
      <c r="B18" s="193">
        <v>3</v>
      </c>
      <c r="C18" s="214">
        <f>+A18*(B18-1)</f>
        <v>8.6</v>
      </c>
      <c r="D18" s="215">
        <f>+C18+Assumptions!$B$27</f>
        <v>13.6</v>
      </c>
      <c r="E18" s="215">
        <f t="shared" si="2"/>
        <v>58.48</v>
      </c>
      <c r="F18" s="229">
        <f>10000/D18</f>
        <v>735.2941176470589</v>
      </c>
      <c r="G18" s="210">
        <f>+F18/A18*B18</f>
        <v>512.99589603283175</v>
      </c>
      <c r="H18" s="219">
        <f>+A18*A18</f>
        <v>18.489999999999998</v>
      </c>
      <c r="I18" s="192"/>
      <c r="J18" s="192"/>
      <c r="K18" s="221"/>
      <c r="L18" s="221"/>
      <c r="M18" s="221"/>
      <c r="N18" s="3"/>
      <c r="O18" s="3"/>
    </row>
    <row r="19" spans="1:15" x14ac:dyDescent="0.45">
      <c r="A19" s="207">
        <f>+A18</f>
        <v>4.3</v>
      </c>
      <c r="B19" s="193">
        <v>4</v>
      </c>
      <c r="C19" s="214">
        <f>+A19*(B19-1)</f>
        <v>12.899999999999999</v>
      </c>
      <c r="D19" s="215">
        <f>+C19+Assumptions!$B$27</f>
        <v>17.899999999999999</v>
      </c>
      <c r="E19" s="215">
        <f t="shared" si="2"/>
        <v>76.969999999999985</v>
      </c>
      <c r="F19" s="229">
        <f>10000/D19</f>
        <v>558.65921787709499</v>
      </c>
      <c r="G19" s="210">
        <f>+F19/A19*B19</f>
        <v>519.68299337404187</v>
      </c>
      <c r="H19" s="219">
        <f>+A19*A19</f>
        <v>18.489999999999998</v>
      </c>
      <c r="I19" s="192"/>
      <c r="J19" s="192"/>
      <c r="K19" s="221"/>
      <c r="L19" s="221"/>
      <c r="M19" s="221"/>
      <c r="N19" s="3"/>
      <c r="O19" s="3"/>
    </row>
    <row r="20" spans="1:15" x14ac:dyDescent="0.45">
      <c r="A20" s="208">
        <f>+A19</f>
        <v>4.3</v>
      </c>
      <c r="B20" s="194">
        <v>5</v>
      </c>
      <c r="C20" s="216">
        <f>+A20*(B20-1)</f>
        <v>17.2</v>
      </c>
      <c r="D20" s="217">
        <f>+C20+Assumptions!$B$27</f>
        <v>22.2</v>
      </c>
      <c r="E20" s="217">
        <f t="shared" si="2"/>
        <v>95.46</v>
      </c>
      <c r="F20" s="230">
        <f>10000/D20</f>
        <v>450.45045045045049</v>
      </c>
      <c r="G20" s="211">
        <f>+F20/A20*B20</f>
        <v>523.77959354703546</v>
      </c>
      <c r="H20" s="220">
        <f>+A20*A20</f>
        <v>18.489999999999998</v>
      </c>
      <c r="I20" s="192"/>
      <c r="J20" s="192"/>
      <c r="K20" s="221"/>
      <c r="L20" s="221"/>
      <c r="M20" s="221"/>
      <c r="N20" s="3"/>
      <c r="O20" s="3"/>
    </row>
    <row r="21" spans="1:15" x14ac:dyDescent="0.45">
      <c r="A21" s="223"/>
      <c r="B21" s="192"/>
      <c r="C21" s="223"/>
      <c r="D21" s="223"/>
      <c r="E21" s="223"/>
      <c r="F21" s="224"/>
      <c r="G21" s="224"/>
      <c r="H21" s="223"/>
      <c r="I21" s="192"/>
      <c r="J21" s="192"/>
      <c r="K21" s="221"/>
      <c r="L21" s="221"/>
      <c r="M21" s="221"/>
      <c r="N21" s="3"/>
      <c r="O21" s="3"/>
    </row>
    <row r="22" spans="1:15" x14ac:dyDescent="0.45">
      <c r="A22" s="206">
        <v>3.7915287786205241</v>
      </c>
      <c r="B22" s="195">
        <v>1</v>
      </c>
      <c r="C22" s="212">
        <f>+A22*(B22-1)</f>
        <v>0</v>
      </c>
      <c r="D22" s="213">
        <f>+C22+Assumptions!$B$27</f>
        <v>5</v>
      </c>
      <c r="E22" s="213">
        <f>+D22*A22</f>
        <v>18.95764389310262</v>
      </c>
      <c r="F22" s="228">
        <f>10000/D22</f>
        <v>2000</v>
      </c>
      <c r="G22" s="209">
        <f>+F22/A22*B22</f>
        <v>527.49171027726243</v>
      </c>
      <c r="H22" s="218">
        <f>+A22*A22</f>
        <v>14.375690479107643</v>
      </c>
      <c r="I22" s="192"/>
      <c r="J22" s="192"/>
      <c r="K22" s="221"/>
      <c r="L22" s="221"/>
      <c r="M22" s="221"/>
      <c r="N22" s="3"/>
      <c r="O22" s="3"/>
    </row>
    <row r="23" spans="1:15" x14ac:dyDescent="0.45">
      <c r="A23" s="207">
        <f>+A22</f>
        <v>3.7915287786205241</v>
      </c>
      <c r="B23" s="193">
        <v>2</v>
      </c>
      <c r="C23" s="214">
        <f>+A23*(B23-1)</f>
        <v>3.7915287786205241</v>
      </c>
      <c r="D23" s="215">
        <f>+C23+Assumptions!$B$27</f>
        <v>8.7915287786205241</v>
      </c>
      <c r="E23" s="215">
        <f t="shared" ref="E23:E26" si="3">+D23*A23</f>
        <v>33.333334372210267</v>
      </c>
      <c r="F23" s="229">
        <f>10000/D23</f>
        <v>1137.4585981357723</v>
      </c>
      <c r="G23" s="210">
        <f>+F23/A23*B23</f>
        <v>599.99998130021584</v>
      </c>
      <c r="H23" s="219">
        <f>+A23*A23</f>
        <v>14.375690479107643</v>
      </c>
      <c r="I23" s="192"/>
      <c r="J23" s="192"/>
      <c r="K23" s="221"/>
      <c r="L23" s="221"/>
      <c r="M23" s="221"/>
      <c r="N23" s="3"/>
      <c r="O23" s="3"/>
    </row>
    <row r="24" spans="1:15" x14ac:dyDescent="0.45">
      <c r="A24" s="207">
        <f>+A23</f>
        <v>3.7915287786205241</v>
      </c>
      <c r="B24" s="193">
        <v>3</v>
      </c>
      <c r="C24" s="214">
        <f>+A24*(B24-1)</f>
        <v>7.5830575572410481</v>
      </c>
      <c r="D24" s="215">
        <f>+C24+Assumptions!$B$27</f>
        <v>12.583057557241048</v>
      </c>
      <c r="E24" s="215">
        <f t="shared" si="3"/>
        <v>47.709024851317906</v>
      </c>
      <c r="F24" s="229">
        <f>10000/D24</f>
        <v>794.71940381019704</v>
      </c>
      <c r="G24" s="210">
        <f>+F24/A24*B24</f>
        <v>628.81184625955075</v>
      </c>
      <c r="H24" s="219">
        <f>+A24*A24</f>
        <v>14.375690479107643</v>
      </c>
      <c r="I24" s="192"/>
      <c r="J24" s="192"/>
      <c r="K24" s="221"/>
      <c r="L24" s="221"/>
      <c r="M24" s="221"/>
      <c r="N24" s="3"/>
      <c r="O24" s="3"/>
    </row>
    <row r="25" spans="1:15" x14ac:dyDescent="0.45">
      <c r="A25" s="207">
        <f>+A24</f>
        <v>3.7915287786205241</v>
      </c>
      <c r="B25" s="193">
        <v>4</v>
      </c>
      <c r="C25" s="214">
        <f>+A25*(B25-1)</f>
        <v>11.374586335861572</v>
      </c>
      <c r="D25" s="215">
        <f>+C25+Assumptions!$B$27</f>
        <v>16.374586335861572</v>
      </c>
      <c r="E25" s="215">
        <f t="shared" si="3"/>
        <v>62.084715330425553</v>
      </c>
      <c r="F25" s="229">
        <f>10000/D25</f>
        <v>610.70245042461011</v>
      </c>
      <c r="G25" s="210">
        <f>+F25/A25*B25</f>
        <v>644.28096008998523</v>
      </c>
      <c r="H25" s="219">
        <f>+A25*A25</f>
        <v>14.375690479107643</v>
      </c>
      <c r="I25" s="192"/>
      <c r="J25" s="192"/>
      <c r="K25" s="192"/>
      <c r="L25" s="192"/>
      <c r="M25" s="192"/>
      <c r="N25" s="3"/>
      <c r="O25" s="3"/>
    </row>
    <row r="26" spans="1:15" x14ac:dyDescent="0.45">
      <c r="A26" s="208">
        <f>+A25</f>
        <v>3.7915287786205241</v>
      </c>
      <c r="B26" s="194">
        <v>5</v>
      </c>
      <c r="C26" s="216">
        <f>+A26*(B26-1)</f>
        <v>15.166115114482096</v>
      </c>
      <c r="D26" s="217">
        <f>+C26+Assumptions!$B$27</f>
        <v>20.166115114482096</v>
      </c>
      <c r="E26" s="217">
        <f t="shared" si="3"/>
        <v>76.460405809533199</v>
      </c>
      <c r="F26" s="230">
        <f>10000/D26</f>
        <v>495.88133079824576</v>
      </c>
      <c r="G26" s="211">
        <f>+F26/A26*B26</f>
        <v>653.93322819332889</v>
      </c>
      <c r="H26" s="220">
        <f>+A26*A26</f>
        <v>14.375690479107643</v>
      </c>
      <c r="I26" s="192"/>
      <c r="J26" s="192"/>
      <c r="K26" s="192"/>
      <c r="L26" s="192"/>
      <c r="M26" s="192"/>
      <c r="N26" s="3"/>
      <c r="O26" s="3"/>
    </row>
    <row r="27" spans="1:15" x14ac:dyDescent="0.45">
      <c r="A27" s="223"/>
      <c r="B27" s="192"/>
      <c r="C27" s="223"/>
      <c r="D27" s="223"/>
      <c r="E27" s="223"/>
      <c r="F27" s="224"/>
      <c r="G27" s="224"/>
      <c r="H27" s="223"/>
      <c r="I27" s="192"/>
      <c r="J27" s="192"/>
      <c r="K27" s="192"/>
      <c r="L27" s="192"/>
      <c r="M27" s="192"/>
      <c r="N27" s="3"/>
      <c r="O27" s="3"/>
    </row>
    <row r="28" spans="1:15" x14ac:dyDescent="0.45">
      <c r="A28" s="206">
        <v>2.9120344140669849</v>
      </c>
      <c r="B28" s="195">
        <v>1</v>
      </c>
      <c r="C28" s="212">
        <f>+A28*(B28-1)</f>
        <v>0</v>
      </c>
      <c r="D28" s="213">
        <f>+C28+Assumptions!$B$27</f>
        <v>5</v>
      </c>
      <c r="E28" s="213">
        <f>+D28*A28</f>
        <v>14.560172070334925</v>
      </c>
      <c r="F28" s="228">
        <f>10000/D28</f>
        <v>2000</v>
      </c>
      <c r="G28" s="209">
        <f>+F28/A28*B28</f>
        <v>686.80507013884289</v>
      </c>
      <c r="H28" s="218">
        <f>+A28*A28</f>
        <v>8.4799444287104482</v>
      </c>
      <c r="I28" s="192"/>
      <c r="J28" s="192"/>
      <c r="K28" s="192"/>
      <c r="L28" s="192"/>
      <c r="M28" s="192"/>
      <c r="N28" s="3"/>
      <c r="O28" s="3"/>
    </row>
    <row r="29" spans="1:15" x14ac:dyDescent="0.45">
      <c r="A29" s="207">
        <f>+A28</f>
        <v>2.9120344140669849</v>
      </c>
      <c r="B29" s="193">
        <v>2</v>
      </c>
      <c r="C29" s="214">
        <f>+A29*(B29-1)</f>
        <v>2.9120344140669849</v>
      </c>
      <c r="D29" s="215">
        <f>+C29+Assumptions!$B$27</f>
        <v>7.9120344140669854</v>
      </c>
      <c r="E29" s="215">
        <f t="shared" ref="E29:E32" si="4">+D29*A29</f>
        <v>23.040116499045375</v>
      </c>
      <c r="F29" s="229">
        <f>10000/D29</f>
        <v>1263.8974348014428</v>
      </c>
      <c r="G29" s="210">
        <f>+F29/A29*B29</f>
        <v>868.05116635710863</v>
      </c>
      <c r="H29" s="219">
        <f>+A29*A29</f>
        <v>8.4799444287104482</v>
      </c>
      <c r="I29" s="192"/>
      <c r="J29" s="192"/>
      <c r="K29" s="192"/>
      <c r="L29" s="192"/>
      <c r="M29" s="192"/>
      <c r="N29" s="3"/>
      <c r="O29" s="3"/>
    </row>
    <row r="30" spans="1:15" x14ac:dyDescent="0.45">
      <c r="A30" s="207">
        <f>+A29</f>
        <v>2.9120344140669849</v>
      </c>
      <c r="B30" s="193">
        <v>3</v>
      </c>
      <c r="C30" s="214">
        <f>+A30*(B30-1)</f>
        <v>5.8240688281339699</v>
      </c>
      <c r="D30" s="215">
        <f>+C30+Assumptions!$B$27</f>
        <v>10.824068828133971</v>
      </c>
      <c r="E30" s="215">
        <f t="shared" si="4"/>
        <v>31.520060927755825</v>
      </c>
      <c r="F30" s="229">
        <f>10000/D30</f>
        <v>923.86700036569914</v>
      </c>
      <c r="G30" s="210">
        <f>+F30/A30*B30</f>
        <v>951.77480997768964</v>
      </c>
      <c r="H30" s="219">
        <f>+A30*A30</f>
        <v>8.4799444287104482</v>
      </c>
      <c r="I30" s="192"/>
      <c r="J30" s="192"/>
      <c r="K30" s="192"/>
      <c r="L30" s="192"/>
      <c r="M30" s="192"/>
      <c r="N30" s="3"/>
      <c r="O30" s="3"/>
    </row>
    <row r="31" spans="1:15" x14ac:dyDescent="0.45">
      <c r="A31" s="207">
        <f>+A30</f>
        <v>2.9120344140669849</v>
      </c>
      <c r="B31" s="193">
        <v>4</v>
      </c>
      <c r="C31" s="214">
        <f>+A31*(B31-1)</f>
        <v>8.7361032422009544</v>
      </c>
      <c r="D31" s="215">
        <f>+C31+Assumptions!$B$27</f>
        <v>13.736103242200954</v>
      </c>
      <c r="E31" s="215">
        <f t="shared" si="4"/>
        <v>40.000005356466268</v>
      </c>
      <c r="F31" s="229">
        <f>10000/D31</f>
        <v>728.00850602792104</v>
      </c>
      <c r="G31" s="210">
        <f>+F31/A31*B31</f>
        <v>999.99986608836116</v>
      </c>
      <c r="H31" s="219">
        <f>+A31*A31</f>
        <v>8.4799444287104482</v>
      </c>
      <c r="I31" s="192"/>
      <c r="J31" s="192"/>
      <c r="K31" s="192"/>
      <c r="L31" s="192"/>
      <c r="M31" s="192"/>
      <c r="N31" s="3"/>
      <c r="O31" s="3"/>
    </row>
    <row r="32" spans="1:15" x14ac:dyDescent="0.45">
      <c r="A32" s="207">
        <f>+A31</f>
        <v>2.9120344140669849</v>
      </c>
      <c r="B32" s="193">
        <v>5</v>
      </c>
      <c r="C32" s="214">
        <f>+A32*(B32-1)</f>
        <v>11.64813765626794</v>
      </c>
      <c r="D32" s="215">
        <f>+C32+Assumptions!$B$27</f>
        <v>16.648137656267942</v>
      </c>
      <c r="E32" s="215">
        <f t="shared" si="4"/>
        <v>48.479949785176721</v>
      </c>
      <c r="F32" s="229">
        <f>10000/D32</f>
        <v>600.66778678004562</v>
      </c>
      <c r="G32" s="210">
        <f>+F32/A32*B32</f>
        <v>1031.354203574032</v>
      </c>
      <c r="H32" s="219">
        <f>+A32*A32</f>
        <v>8.4799444287104482</v>
      </c>
      <c r="I32" s="192"/>
      <c r="J32" s="192"/>
      <c r="K32" s="192"/>
      <c r="L32" s="192"/>
      <c r="M32" s="192"/>
      <c r="N32" s="3"/>
      <c r="O32" s="3"/>
    </row>
    <row r="33" spans="1:15" x14ac:dyDescent="0.45">
      <c r="A33" s="192"/>
      <c r="B33" s="192"/>
      <c r="C33" s="192"/>
      <c r="D33" s="192"/>
      <c r="E33" s="192"/>
      <c r="F33" s="192"/>
      <c r="G33" s="192"/>
      <c r="H33" s="192"/>
      <c r="I33" s="192"/>
      <c r="J33" s="192"/>
      <c r="K33" s="192"/>
      <c r="L33" s="192"/>
      <c r="M33" s="192"/>
      <c r="N33" s="3"/>
      <c r="O33" s="3"/>
    </row>
    <row r="34" spans="1:15" x14ac:dyDescent="0.45">
      <c r="A34" s="221"/>
      <c r="B34" s="221"/>
      <c r="C34" s="221"/>
      <c r="D34" s="221"/>
      <c r="E34" s="221"/>
      <c r="F34" s="221"/>
      <c r="G34" s="221"/>
      <c r="H34" s="221"/>
      <c r="I34" s="221"/>
      <c r="J34" s="221"/>
      <c r="K34" s="221"/>
      <c r="L34" s="221"/>
      <c r="M34" s="221"/>
    </row>
    <row r="35" spans="1:15" x14ac:dyDescent="0.45">
      <c r="A35" s="221"/>
      <c r="B35" s="221"/>
      <c r="C35" s="221"/>
      <c r="D35" s="221"/>
      <c r="E35" s="221"/>
      <c r="F35" s="221"/>
      <c r="G35" s="221"/>
      <c r="H35" s="221"/>
      <c r="I35" s="221"/>
      <c r="J35" s="221"/>
      <c r="K35" s="221"/>
      <c r="L35" s="221"/>
      <c r="M35" s="221"/>
    </row>
    <row r="36" spans="1:15" x14ac:dyDescent="0.45">
      <c r="A36" s="221"/>
      <c r="B36" s="221"/>
      <c r="C36" s="221"/>
      <c r="D36" s="221"/>
      <c r="E36" s="221"/>
      <c r="F36" s="221"/>
      <c r="G36" s="221"/>
      <c r="H36" s="221"/>
      <c r="I36" s="221"/>
      <c r="J36" s="221"/>
      <c r="K36" s="221"/>
      <c r="L36" s="221"/>
      <c r="M36" s="221"/>
    </row>
    <row r="37" spans="1:15" x14ac:dyDescent="0.45">
      <c r="A37" s="221"/>
      <c r="B37" s="221"/>
      <c r="C37" s="221"/>
      <c r="D37" s="221"/>
      <c r="E37" s="221"/>
      <c r="F37" s="221"/>
      <c r="G37" s="221"/>
      <c r="H37" s="221"/>
      <c r="I37" s="221"/>
      <c r="J37" s="221"/>
      <c r="K37" s="221"/>
      <c r="L37" s="221"/>
      <c r="M37" s="221"/>
    </row>
    <row r="38" spans="1:15" x14ac:dyDescent="0.45">
      <c r="A38" s="221"/>
      <c r="B38" s="221"/>
      <c r="C38" s="221"/>
      <c r="D38" s="221"/>
      <c r="E38" s="221"/>
      <c r="F38" s="221"/>
      <c r="G38" s="221"/>
      <c r="H38" s="221"/>
      <c r="I38" s="221"/>
      <c r="J38" s="221"/>
      <c r="K38" s="221"/>
      <c r="L38" s="221"/>
      <c r="M38" s="221"/>
    </row>
    <row r="39" spans="1:15" x14ac:dyDescent="0.45">
      <c r="A39" s="221"/>
      <c r="B39" s="221"/>
      <c r="C39" s="221"/>
      <c r="D39" s="221"/>
      <c r="E39" s="221"/>
      <c r="F39" s="221"/>
      <c r="G39" s="221"/>
      <c r="H39" s="221"/>
      <c r="I39" s="221"/>
      <c r="J39" s="221"/>
      <c r="K39" s="221"/>
      <c r="L39" s="221"/>
      <c r="M39" s="221"/>
    </row>
    <row r="40" spans="1:15" x14ac:dyDescent="0.45">
      <c r="A40" s="221"/>
      <c r="B40" s="221"/>
      <c r="C40" s="221"/>
      <c r="D40" s="221"/>
      <c r="E40" s="221"/>
      <c r="F40" s="221"/>
      <c r="G40" s="221"/>
      <c r="H40" s="221"/>
      <c r="I40" s="221"/>
      <c r="J40" s="221"/>
      <c r="K40" s="221"/>
      <c r="L40" s="221"/>
      <c r="M40" s="221"/>
    </row>
  </sheetData>
  <mergeCells count="1">
    <mergeCell ref="A2:D2"/>
  </mergeCells>
  <pageMargins left="0.7" right="0.7" top="0.75" bottom="0.75" header="0.3" footer="0.3"/>
  <drawing r:id="rId1"/>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5654AB-0F94-4985-B5C0-F8FA9A1BC202}">
  <dimension ref="A1:AI63"/>
  <sheetViews>
    <sheetView topLeftCell="A2" workbookViewId="0">
      <selection activeCell="Z6" sqref="Z6"/>
    </sheetView>
  </sheetViews>
  <sheetFormatPr defaultRowHeight="14.25" x14ac:dyDescent="0.45"/>
  <cols>
    <col min="1" max="1" width="9" style="3"/>
    <col min="2" max="5" width="18" style="3" customWidth="1"/>
    <col min="6" max="6" width="15.1328125" customWidth="1"/>
    <col min="7" max="7" width="11.86328125" customWidth="1"/>
    <col min="12" max="12" width="2.46484375" customWidth="1"/>
    <col min="13" max="13" width="11.46484375" customWidth="1"/>
    <col min="14" max="14" width="12.1328125" customWidth="1"/>
    <col min="15" max="15" width="15" customWidth="1"/>
    <col min="16" max="16" width="10.46484375" customWidth="1"/>
    <col min="17" max="17" width="2.33203125" customWidth="1"/>
    <col min="19" max="19" width="11.46484375" customWidth="1"/>
    <col min="24" max="24" width="2.46484375" customWidth="1"/>
  </cols>
  <sheetData>
    <row r="1" spans="1:35" x14ac:dyDescent="0.45">
      <c r="A1" s="233" t="s">
        <v>133</v>
      </c>
      <c r="B1" s="234"/>
      <c r="C1" s="234"/>
      <c r="D1" s="234"/>
      <c r="E1" s="234"/>
      <c r="F1" s="234"/>
      <c r="G1" s="234"/>
      <c r="H1" s="234"/>
      <c r="I1" s="234"/>
      <c r="J1" s="234"/>
      <c r="K1" s="234"/>
      <c r="L1" s="234"/>
      <c r="M1" s="234"/>
      <c r="N1" s="234"/>
      <c r="O1" s="234"/>
      <c r="P1" s="234"/>
      <c r="Q1" s="234"/>
      <c r="R1" s="234"/>
      <c r="S1" s="234"/>
      <c r="T1" s="234"/>
      <c r="U1" s="234"/>
      <c r="V1" s="234"/>
      <c r="W1" s="234"/>
      <c r="X1" s="234"/>
      <c r="Y1" s="235"/>
    </row>
    <row r="2" spans="1:35" ht="63" customHeight="1" x14ac:dyDescent="0.45">
      <c r="R2" s="238" t="s">
        <v>134</v>
      </c>
      <c r="S2" s="238"/>
      <c r="T2" s="238"/>
    </row>
    <row r="3" spans="1:35" x14ac:dyDescent="0.45">
      <c r="B3" s="236" t="s">
        <v>135</v>
      </c>
      <c r="C3" s="236"/>
      <c r="R3" t="s">
        <v>136</v>
      </c>
    </row>
    <row r="4" spans="1:35" ht="33" customHeight="1" x14ac:dyDescent="0.45">
      <c r="A4" s="7" t="s">
        <v>137</v>
      </c>
      <c r="C4"/>
      <c r="D4"/>
      <c r="E4"/>
      <c r="M4" s="237" t="s">
        <v>138</v>
      </c>
      <c r="N4" s="237"/>
      <c r="O4" s="237"/>
      <c r="P4" s="237"/>
      <c r="R4" s="142">
        <f>+Assumptions!B11</f>
        <v>10</v>
      </c>
      <c r="V4" s="231" t="s">
        <v>139</v>
      </c>
      <c r="W4" s="231"/>
      <c r="Y4" s="232" t="s">
        <v>140</v>
      </c>
      <c r="Z4" s="232"/>
      <c r="AB4" s="231" t="s">
        <v>141</v>
      </c>
      <c r="AC4" s="231"/>
      <c r="AE4" s="232" t="s">
        <v>142</v>
      </c>
      <c r="AF4" s="232"/>
      <c r="AH4" s="232" t="s">
        <v>143</v>
      </c>
      <c r="AI4" s="232"/>
    </row>
    <row r="5" spans="1:35" ht="57" x14ac:dyDescent="0.45">
      <c r="A5" s="171" t="s">
        <v>79</v>
      </c>
      <c r="B5" s="172" t="s">
        <v>144</v>
      </c>
      <c r="C5" s="172" t="s">
        <v>145</v>
      </c>
      <c r="D5" s="173" t="s">
        <v>146</v>
      </c>
      <c r="E5" s="178" t="s">
        <v>147</v>
      </c>
      <c r="F5" s="173" t="s">
        <v>148</v>
      </c>
      <c r="G5" s="178" t="s">
        <v>149</v>
      </c>
      <c r="H5" s="173" t="s">
        <v>150</v>
      </c>
      <c r="I5" s="178" t="s">
        <v>151</v>
      </c>
      <c r="J5" s="178" t="s">
        <v>152</v>
      </c>
      <c r="K5" s="179" t="s">
        <v>153</v>
      </c>
      <c r="M5" s="179" t="s">
        <v>154</v>
      </c>
      <c r="N5" s="178" t="s">
        <v>155</v>
      </c>
      <c r="O5" s="178" t="s">
        <v>156</v>
      </c>
      <c r="P5" s="179" t="s">
        <v>157</v>
      </c>
      <c r="R5" s="178" t="s">
        <v>158</v>
      </c>
      <c r="S5" s="179" t="s">
        <v>159</v>
      </c>
      <c r="V5" s="62" t="s">
        <v>144</v>
      </c>
      <c r="W5" s="62" t="s">
        <v>145</v>
      </c>
      <c r="Y5" s="62" t="s">
        <v>144</v>
      </c>
      <c r="Z5" s="62" t="s">
        <v>160</v>
      </c>
      <c r="AB5" s="62" t="s">
        <v>144</v>
      </c>
      <c r="AC5" s="62" t="s">
        <v>145</v>
      </c>
      <c r="AE5" s="62" t="s">
        <v>144</v>
      </c>
      <c r="AF5" s="62" t="s">
        <v>145</v>
      </c>
      <c r="AH5" s="62" t="s">
        <v>144</v>
      </c>
      <c r="AI5" s="62" t="s">
        <v>145</v>
      </c>
    </row>
    <row r="6" spans="1:35" x14ac:dyDescent="0.45">
      <c r="A6" s="153">
        <v>1</v>
      </c>
      <c r="B6" s="154">
        <v>1.5</v>
      </c>
      <c r="C6" s="155">
        <v>1.2</v>
      </c>
      <c r="D6" s="156">
        <f>C6*B6</f>
        <v>1.7999999999999998</v>
      </c>
      <c r="E6" s="157">
        <f>(D6*Assumptions!B$17)/1000</f>
        <v>0.89999999999999991</v>
      </c>
      <c r="F6" s="158">
        <f>D6*Biomass!A$30</f>
        <v>0.43199999999999994</v>
      </c>
      <c r="G6" s="157">
        <f>(F6*Assumptions!B$17)/1000</f>
        <v>0.21599999999999997</v>
      </c>
      <c r="H6" s="156">
        <f>D6+F6</f>
        <v>2.2319999999999998</v>
      </c>
      <c r="I6" s="157">
        <f>(H6*Assumptions!B$17)/1000</f>
        <v>1.1159999999999999</v>
      </c>
      <c r="J6" s="159">
        <f>I6*$A$28</f>
        <v>0.52451999999999988</v>
      </c>
      <c r="K6" s="158">
        <f>J6*A$29</f>
        <v>1.9232400000000014</v>
      </c>
      <c r="L6" s="174"/>
      <c r="M6" s="150">
        <f>+H6</f>
        <v>2.2319999999999998</v>
      </c>
      <c r="N6" s="167">
        <f>+M6/1000</f>
        <v>2.2319999999999996E-3</v>
      </c>
      <c r="O6" s="168">
        <f t="shared" ref="O6:O25" si="0">N6*$A$28</f>
        <v>1.0490399999999998E-3</v>
      </c>
      <c r="P6" s="169">
        <f>+O6*$A$29</f>
        <v>3.8464800000000028E-3</v>
      </c>
      <c r="Q6" s="58"/>
      <c r="R6" s="175">
        <f>+P6*R$4</f>
        <v>3.8464800000000028E-2</v>
      </c>
      <c r="S6" s="176">
        <f>+R6</f>
        <v>3.8464800000000028E-2</v>
      </c>
      <c r="V6" s="14">
        <v>1.5</v>
      </c>
      <c r="W6" s="93">
        <v>1.2</v>
      </c>
      <c r="Y6" s="14">
        <v>1</v>
      </c>
      <c r="Z6" s="93">
        <v>0</v>
      </c>
      <c r="AB6" s="14"/>
      <c r="AC6" s="93"/>
      <c r="AE6" s="14"/>
      <c r="AF6" s="93"/>
      <c r="AH6" s="14"/>
      <c r="AI6" s="93"/>
    </row>
    <row r="7" spans="1:35" x14ac:dyDescent="0.45">
      <c r="A7" s="160">
        <v>2</v>
      </c>
      <c r="B7" s="14">
        <v>3.5</v>
      </c>
      <c r="C7" s="93">
        <v>2.4</v>
      </c>
      <c r="D7" s="79">
        <f t="shared" ref="D7:D25" si="1">C7*B7</f>
        <v>8.4</v>
      </c>
      <c r="E7" s="94">
        <f>(D7*Assumptions!B$17)/1000</f>
        <v>4.2</v>
      </c>
      <c r="F7" s="79">
        <f>D7*Biomass!A$30</f>
        <v>2.016</v>
      </c>
      <c r="G7" s="94">
        <f>(F7*Assumptions!B$17)/1000</f>
        <v>1.008</v>
      </c>
      <c r="H7" s="79">
        <f t="shared" ref="H7:H24" si="2">D7+F7</f>
        <v>10.416</v>
      </c>
      <c r="I7" s="96">
        <f>(H7*Assumptions!B$17)/1000</f>
        <v>5.2080000000000002</v>
      </c>
      <c r="J7" s="96">
        <f t="shared" ref="J7:J25" si="3">I7*$A$28</f>
        <v>2.4477600000000002</v>
      </c>
      <c r="K7" s="78">
        <f t="shared" ref="K7:K25" si="4">J7*A$29</f>
        <v>8.9751200000000093</v>
      </c>
      <c r="L7" s="177"/>
      <c r="M7" s="151">
        <f>+H7-H6</f>
        <v>8.1840000000000011</v>
      </c>
      <c r="N7" s="141">
        <f t="shared" ref="N7:N25" si="5">+M7/1000</f>
        <v>8.1840000000000003E-3</v>
      </c>
      <c r="O7" s="95">
        <f t="shared" si="0"/>
        <v>3.8464799999999998E-3</v>
      </c>
      <c r="P7" s="147">
        <f t="shared" ref="P7:P25" si="6">+O7*$A$29</f>
        <v>1.4103760000000012E-2</v>
      </c>
      <c r="R7" s="143">
        <f t="shared" ref="R7:R25" si="7">+P7*R$4</f>
        <v>0.14103760000000012</v>
      </c>
      <c r="S7" s="145">
        <f>+R7+S6</f>
        <v>0.17950240000000015</v>
      </c>
      <c r="V7" s="14">
        <v>3.5</v>
      </c>
      <c r="W7" s="93">
        <v>2.4</v>
      </c>
      <c r="Y7" s="96">
        <f>+Y$18/COUNTA(V6:V18)+Y6</f>
        <v>14.846153846153847</v>
      </c>
      <c r="Z7" s="96">
        <f>+Z$18/12</f>
        <v>0.85833333333333339</v>
      </c>
      <c r="AB7" s="14"/>
      <c r="AC7" s="93"/>
      <c r="AE7" s="14"/>
      <c r="AF7" s="93"/>
      <c r="AH7" s="14"/>
      <c r="AI7" s="93"/>
    </row>
    <row r="8" spans="1:35" x14ac:dyDescent="0.45">
      <c r="A8" s="160">
        <v>3</v>
      </c>
      <c r="B8" s="14">
        <v>5.5</v>
      </c>
      <c r="C8" s="93">
        <v>6</v>
      </c>
      <c r="D8" s="79">
        <f t="shared" si="1"/>
        <v>33</v>
      </c>
      <c r="E8" s="97">
        <f>(D8*Assumptions!B$17)/1000</f>
        <v>16.5</v>
      </c>
      <c r="F8" s="79">
        <f>D8*Biomass!A$30</f>
        <v>7.92</v>
      </c>
      <c r="G8" s="97">
        <f>(F8*Assumptions!B$17)/1000</f>
        <v>3.96</v>
      </c>
      <c r="H8" s="79">
        <f t="shared" si="2"/>
        <v>40.92</v>
      </c>
      <c r="I8" s="97">
        <f>(H8*Assumptions!B$17)/1000</f>
        <v>20.46</v>
      </c>
      <c r="J8" s="96">
        <f t="shared" si="3"/>
        <v>9.6161999999999992</v>
      </c>
      <c r="K8" s="79">
        <f t="shared" si="4"/>
        <v>35.259400000000028</v>
      </c>
      <c r="L8" s="177"/>
      <c r="M8" s="151">
        <f t="shared" ref="M8:M25" si="8">+H8-H7</f>
        <v>30.504000000000001</v>
      </c>
      <c r="N8" s="141">
        <f t="shared" si="5"/>
        <v>3.0504E-2</v>
      </c>
      <c r="O8" s="95">
        <f t="shared" si="0"/>
        <v>1.433688E-2</v>
      </c>
      <c r="P8" s="147">
        <f t="shared" si="6"/>
        <v>5.2568560000000049E-2</v>
      </c>
      <c r="R8" s="143">
        <f t="shared" si="7"/>
        <v>0.52568560000000053</v>
      </c>
      <c r="S8" s="145">
        <f t="shared" ref="S8:S25" si="9">+R8+S7</f>
        <v>0.7051880000000007</v>
      </c>
      <c r="V8" s="14">
        <v>5.5</v>
      </c>
      <c r="W8" s="93">
        <v>6</v>
      </c>
      <c r="Y8" s="96">
        <f t="shared" ref="Y8:Y17" si="10">+Y$18/COUNTA(V7:V19)+Y7</f>
        <v>28.692307692307693</v>
      </c>
      <c r="Z8" s="96">
        <f>+Z$18/12+Z7</f>
        <v>1.7166666666666668</v>
      </c>
      <c r="AB8" s="14"/>
      <c r="AC8" s="93"/>
      <c r="AE8" s="14"/>
      <c r="AF8" s="93"/>
      <c r="AH8" s="14"/>
      <c r="AI8" s="93"/>
    </row>
    <row r="9" spans="1:35" x14ac:dyDescent="0.45">
      <c r="A9" s="160">
        <v>4</v>
      </c>
      <c r="B9" s="11">
        <v>9</v>
      </c>
      <c r="C9" s="93">
        <v>7</v>
      </c>
      <c r="D9" s="79">
        <f t="shared" si="1"/>
        <v>63</v>
      </c>
      <c r="E9" s="97">
        <f>(D9*Assumptions!B$17)/1000</f>
        <v>31.5</v>
      </c>
      <c r="F9" s="79">
        <f>D9*Biomass!A$30</f>
        <v>15.12</v>
      </c>
      <c r="G9" s="97">
        <f>(F9*Assumptions!B$17)/1000</f>
        <v>7.56</v>
      </c>
      <c r="H9" s="79">
        <f t="shared" si="2"/>
        <v>78.12</v>
      </c>
      <c r="I9" s="97">
        <f>(H9*Assumptions!B$17)/1000</f>
        <v>39.06</v>
      </c>
      <c r="J9" s="96">
        <f t="shared" si="3"/>
        <v>18.3582</v>
      </c>
      <c r="K9" s="79">
        <f t="shared" si="4"/>
        <v>67.313400000000058</v>
      </c>
      <c r="L9" s="177"/>
      <c r="M9" s="151">
        <f t="shared" si="8"/>
        <v>37.200000000000003</v>
      </c>
      <c r="N9" s="141">
        <f t="shared" si="5"/>
        <v>3.7200000000000004E-2</v>
      </c>
      <c r="O9" s="95">
        <f t="shared" si="0"/>
        <v>1.7484E-2</v>
      </c>
      <c r="P9" s="147">
        <f t="shared" si="6"/>
        <v>6.4108000000000054E-2</v>
      </c>
      <c r="R9" s="143">
        <f t="shared" si="7"/>
        <v>0.64108000000000054</v>
      </c>
      <c r="S9" s="145">
        <f t="shared" si="9"/>
        <v>1.3462680000000011</v>
      </c>
      <c r="V9" s="11">
        <v>9</v>
      </c>
      <c r="W9" s="93">
        <v>7</v>
      </c>
      <c r="Y9" s="96">
        <f t="shared" si="10"/>
        <v>42.53846153846154</v>
      </c>
      <c r="Z9" s="96">
        <f t="shared" ref="Z9:Z17" si="11">+Z$18/12+Z8</f>
        <v>2.5750000000000002</v>
      </c>
      <c r="AB9" s="11"/>
      <c r="AC9" s="93"/>
      <c r="AE9" s="14"/>
      <c r="AF9" s="93"/>
      <c r="AH9" s="14"/>
      <c r="AI9" s="93"/>
    </row>
    <row r="10" spans="1:35" x14ac:dyDescent="0.45">
      <c r="A10" s="160">
        <v>5</v>
      </c>
      <c r="B10" s="11">
        <v>15</v>
      </c>
      <c r="C10" s="93">
        <v>7</v>
      </c>
      <c r="D10" s="79">
        <f t="shared" si="1"/>
        <v>105</v>
      </c>
      <c r="E10" s="97">
        <f>(D10*Assumptions!B$17)/1000</f>
        <v>52.5</v>
      </c>
      <c r="F10" s="79">
        <f>D10*Biomass!A$30</f>
        <v>25.2</v>
      </c>
      <c r="G10" s="97">
        <f>(F10*Assumptions!B$17)/1000</f>
        <v>12.6</v>
      </c>
      <c r="H10" s="79">
        <f t="shared" si="2"/>
        <v>130.19999999999999</v>
      </c>
      <c r="I10" s="97">
        <f>(H10*Assumptions!B$17)/1000</f>
        <v>65.099999999999994</v>
      </c>
      <c r="J10" s="96">
        <f t="shared" si="3"/>
        <v>30.596999999999994</v>
      </c>
      <c r="K10" s="79">
        <f t="shared" si="4"/>
        <v>112.18900000000008</v>
      </c>
      <c r="L10" s="177"/>
      <c r="M10" s="151">
        <f t="shared" si="8"/>
        <v>52.079999999999984</v>
      </c>
      <c r="N10" s="141">
        <f t="shared" si="5"/>
        <v>5.2079999999999987E-2</v>
      </c>
      <c r="O10" s="95">
        <f t="shared" si="0"/>
        <v>2.4477599999999992E-2</v>
      </c>
      <c r="P10" s="147">
        <f t="shared" si="6"/>
        <v>8.9751200000000059E-2</v>
      </c>
      <c r="R10" s="143">
        <f t="shared" si="7"/>
        <v>0.89751200000000053</v>
      </c>
      <c r="S10" s="145">
        <f t="shared" si="9"/>
        <v>2.2437800000000019</v>
      </c>
      <c r="V10" s="11">
        <v>15</v>
      </c>
      <c r="W10" s="93">
        <v>7</v>
      </c>
      <c r="Y10" s="96">
        <f t="shared" si="10"/>
        <v>56.384615384615387</v>
      </c>
      <c r="Z10" s="96">
        <f t="shared" si="11"/>
        <v>3.4333333333333336</v>
      </c>
      <c r="AB10" s="11"/>
      <c r="AC10" s="93"/>
      <c r="AE10" s="14"/>
      <c r="AF10" s="93"/>
      <c r="AH10" s="14"/>
      <c r="AI10" s="93"/>
    </row>
    <row r="11" spans="1:35" x14ac:dyDescent="0.45">
      <c r="A11" s="160">
        <v>6</v>
      </c>
      <c r="B11" s="11">
        <v>20</v>
      </c>
      <c r="C11" s="93">
        <v>7</v>
      </c>
      <c r="D11" s="79">
        <f t="shared" si="1"/>
        <v>140</v>
      </c>
      <c r="E11" s="97">
        <f>(D11*Assumptions!B$17)/1000</f>
        <v>70</v>
      </c>
      <c r="F11" s="79">
        <f>D11*Biomass!A$30</f>
        <v>33.6</v>
      </c>
      <c r="G11" s="97">
        <f>(F11*Assumptions!B$17)/1000</f>
        <v>16.8</v>
      </c>
      <c r="H11" s="79">
        <f t="shared" si="2"/>
        <v>173.6</v>
      </c>
      <c r="I11" s="97">
        <f>(H11*Assumptions!B$17)/1000</f>
        <v>86.8</v>
      </c>
      <c r="J11" s="96">
        <f t="shared" si="3"/>
        <v>40.795999999999999</v>
      </c>
      <c r="K11" s="79">
        <f t="shared" si="4"/>
        <v>149.58533333333347</v>
      </c>
      <c r="L11" s="177"/>
      <c r="M11" s="151">
        <f t="shared" si="8"/>
        <v>43.400000000000006</v>
      </c>
      <c r="N11" s="141">
        <f t="shared" si="5"/>
        <v>4.3400000000000008E-2</v>
      </c>
      <c r="O11" s="95">
        <f t="shared" si="0"/>
        <v>2.0398000000000003E-2</v>
      </c>
      <c r="P11" s="147">
        <f t="shared" si="6"/>
        <v>7.4792666666666743E-2</v>
      </c>
      <c r="R11" s="143">
        <f t="shared" si="7"/>
        <v>0.74792666666666741</v>
      </c>
      <c r="S11" s="145">
        <f t="shared" si="9"/>
        <v>2.9917066666666692</v>
      </c>
      <c r="V11" s="11">
        <v>20</v>
      </c>
      <c r="W11" s="93">
        <v>7</v>
      </c>
      <c r="Y11" s="96">
        <f t="shared" si="10"/>
        <v>70.230769230769226</v>
      </c>
      <c r="Z11" s="96">
        <f t="shared" si="11"/>
        <v>4.291666666666667</v>
      </c>
      <c r="AB11" s="11"/>
      <c r="AC11" s="93"/>
      <c r="AE11" s="14"/>
      <c r="AF11" s="93"/>
      <c r="AH11" s="14"/>
      <c r="AI11" s="93"/>
    </row>
    <row r="12" spans="1:35" x14ac:dyDescent="0.45">
      <c r="A12" s="160">
        <v>7</v>
      </c>
      <c r="B12" s="11">
        <v>27</v>
      </c>
      <c r="C12" s="93">
        <v>7</v>
      </c>
      <c r="D12" s="79">
        <f t="shared" si="1"/>
        <v>189</v>
      </c>
      <c r="E12" s="97">
        <f>(D12*Assumptions!B$17)/1000</f>
        <v>94.5</v>
      </c>
      <c r="F12" s="79">
        <f>D12*Biomass!A$30</f>
        <v>45.36</v>
      </c>
      <c r="G12" s="97">
        <f>(F12*Assumptions!B$17)/1000</f>
        <v>22.68</v>
      </c>
      <c r="H12" s="79">
        <f t="shared" si="2"/>
        <v>234.36</v>
      </c>
      <c r="I12" s="97">
        <f>(H12*Assumptions!B$17)/1000</f>
        <v>117.18</v>
      </c>
      <c r="J12" s="96">
        <f t="shared" si="3"/>
        <v>55.074599999999997</v>
      </c>
      <c r="K12" s="79">
        <f t="shared" si="4"/>
        <v>201.94020000000017</v>
      </c>
      <c r="L12" s="177"/>
      <c r="M12" s="151">
        <f t="shared" si="8"/>
        <v>60.760000000000019</v>
      </c>
      <c r="N12" s="141">
        <f t="shared" si="5"/>
        <v>6.0760000000000022E-2</v>
      </c>
      <c r="O12" s="95">
        <f t="shared" si="0"/>
        <v>2.8557200000000008E-2</v>
      </c>
      <c r="P12" s="147">
        <f t="shared" si="6"/>
        <v>0.10470973333333346</v>
      </c>
      <c r="R12" s="143">
        <f t="shared" si="7"/>
        <v>1.0470973333333347</v>
      </c>
      <c r="S12" s="145">
        <f t="shared" si="9"/>
        <v>4.0388040000000043</v>
      </c>
      <c r="V12" s="11">
        <v>27</v>
      </c>
      <c r="W12" s="93">
        <v>7</v>
      </c>
      <c r="Y12" s="96">
        <f t="shared" si="10"/>
        <v>84.076923076923066</v>
      </c>
      <c r="Z12" s="96">
        <f t="shared" si="11"/>
        <v>5.15</v>
      </c>
      <c r="AB12" s="11"/>
      <c r="AC12" s="93"/>
      <c r="AE12" s="14"/>
      <c r="AF12" s="93"/>
      <c r="AH12" s="14">
        <v>19.5</v>
      </c>
      <c r="AI12" s="93"/>
    </row>
    <row r="13" spans="1:35" x14ac:dyDescent="0.45">
      <c r="A13" s="160">
        <v>8</v>
      </c>
      <c r="B13" s="11">
        <v>35</v>
      </c>
      <c r="C13" s="93">
        <v>7</v>
      </c>
      <c r="D13" s="79">
        <f t="shared" si="1"/>
        <v>245</v>
      </c>
      <c r="E13" s="97">
        <f>(D13*Assumptions!B$17)/1000</f>
        <v>122.5</v>
      </c>
      <c r="F13" s="79">
        <f>D13*Biomass!A$30</f>
        <v>58.8</v>
      </c>
      <c r="G13" s="97">
        <f>(F13*Assumptions!B$17)/1000</f>
        <v>29.4</v>
      </c>
      <c r="H13" s="79">
        <f t="shared" si="2"/>
        <v>303.8</v>
      </c>
      <c r="I13" s="97">
        <f>(H13*Assumptions!B$17)/1000</f>
        <v>151.9</v>
      </c>
      <c r="J13" s="96">
        <f t="shared" si="3"/>
        <v>71.393000000000001</v>
      </c>
      <c r="K13" s="79">
        <f t="shared" si="4"/>
        <v>261.77433333333357</v>
      </c>
      <c r="L13" s="177"/>
      <c r="M13" s="151">
        <f t="shared" si="8"/>
        <v>69.44</v>
      </c>
      <c r="N13" s="141">
        <f t="shared" si="5"/>
        <v>6.9440000000000002E-2</v>
      </c>
      <c r="O13" s="95">
        <f t="shared" si="0"/>
        <v>3.2636800000000001E-2</v>
      </c>
      <c r="P13" s="147">
        <f t="shared" si="6"/>
        <v>0.11966826666666679</v>
      </c>
      <c r="R13" s="143">
        <f t="shared" si="7"/>
        <v>1.1966826666666679</v>
      </c>
      <c r="S13" s="145">
        <f t="shared" si="9"/>
        <v>5.235486666666672</v>
      </c>
      <c r="V13" s="11">
        <v>35</v>
      </c>
      <c r="W13" s="93">
        <v>7</v>
      </c>
      <c r="Y13" s="96">
        <f t="shared" si="10"/>
        <v>97.923076923076906</v>
      </c>
      <c r="Z13" s="96">
        <f t="shared" si="11"/>
        <v>6.0083333333333337</v>
      </c>
      <c r="AB13" s="11"/>
      <c r="AC13" s="93"/>
      <c r="AE13" s="14"/>
      <c r="AF13" s="93"/>
      <c r="AH13" s="14"/>
      <c r="AI13" s="93"/>
    </row>
    <row r="14" spans="1:35" x14ac:dyDescent="0.45">
      <c r="A14" s="160">
        <v>9</v>
      </c>
      <c r="B14" s="11">
        <v>40</v>
      </c>
      <c r="C14" s="93">
        <v>7</v>
      </c>
      <c r="D14" s="79">
        <f t="shared" si="1"/>
        <v>280</v>
      </c>
      <c r="E14" s="97">
        <f>(D14*Assumptions!B$17)/1000</f>
        <v>140</v>
      </c>
      <c r="F14" s="79">
        <f>D14*Biomass!A$30</f>
        <v>67.2</v>
      </c>
      <c r="G14" s="97">
        <f>(F14*Assumptions!B$17)/1000</f>
        <v>33.6</v>
      </c>
      <c r="H14" s="79">
        <f t="shared" si="2"/>
        <v>347.2</v>
      </c>
      <c r="I14" s="97">
        <f>(H14*Assumptions!B$17)/1000</f>
        <v>173.6</v>
      </c>
      <c r="J14" s="96">
        <f t="shared" si="3"/>
        <v>81.591999999999999</v>
      </c>
      <c r="K14" s="79">
        <f t="shared" si="4"/>
        <v>299.17066666666693</v>
      </c>
      <c r="L14" s="177"/>
      <c r="M14" s="151">
        <f t="shared" si="8"/>
        <v>43.399999999999977</v>
      </c>
      <c r="N14" s="141">
        <f t="shared" si="5"/>
        <v>4.339999999999998E-2</v>
      </c>
      <c r="O14" s="95">
        <f t="shared" si="0"/>
        <v>2.0397999999999989E-2</v>
      </c>
      <c r="P14" s="147">
        <f t="shared" si="6"/>
        <v>7.4792666666666702E-2</v>
      </c>
      <c r="R14" s="143">
        <f t="shared" si="7"/>
        <v>0.74792666666666707</v>
      </c>
      <c r="S14" s="145">
        <f t="shared" si="9"/>
        <v>5.9834133333333392</v>
      </c>
      <c r="V14" s="11">
        <v>40</v>
      </c>
      <c r="W14" s="93">
        <v>7</v>
      </c>
      <c r="Y14" s="96">
        <f t="shared" si="10"/>
        <v>111.76923076923075</v>
      </c>
      <c r="Z14" s="96">
        <f t="shared" si="11"/>
        <v>6.8666666666666671</v>
      </c>
      <c r="AB14" s="11"/>
      <c r="AC14" s="93"/>
      <c r="AE14" s="14"/>
      <c r="AF14" s="93"/>
      <c r="AH14" s="14"/>
      <c r="AI14" s="93"/>
    </row>
    <row r="15" spans="1:35" x14ac:dyDescent="0.45">
      <c r="A15" s="161">
        <v>10</v>
      </c>
      <c r="B15" s="162">
        <v>45</v>
      </c>
      <c r="C15" s="163">
        <v>7</v>
      </c>
      <c r="D15" s="164">
        <f t="shared" si="1"/>
        <v>315</v>
      </c>
      <c r="E15" s="165">
        <f>(D15*Assumptions!B$17)/1000</f>
        <v>157.5</v>
      </c>
      <c r="F15" s="164">
        <f>D15*Biomass!A$30</f>
        <v>75.599999999999994</v>
      </c>
      <c r="G15" s="165">
        <f>(F15*Assumptions!B$17)/1000</f>
        <v>37.799999999999997</v>
      </c>
      <c r="H15" s="164">
        <f t="shared" si="2"/>
        <v>390.6</v>
      </c>
      <c r="I15" s="165">
        <f>(H15*Assumptions!B$17)/1000</f>
        <v>195.3</v>
      </c>
      <c r="J15" s="166">
        <f t="shared" si="3"/>
        <v>91.790999999999997</v>
      </c>
      <c r="K15" s="164">
        <f t="shared" si="4"/>
        <v>336.56700000000029</v>
      </c>
      <c r="L15" s="177"/>
      <c r="M15" s="152">
        <f t="shared" si="8"/>
        <v>43.400000000000034</v>
      </c>
      <c r="N15" s="170">
        <f t="shared" si="5"/>
        <v>4.3400000000000036E-2</v>
      </c>
      <c r="O15" s="148">
        <f t="shared" si="0"/>
        <v>2.0398000000000017E-2</v>
      </c>
      <c r="P15" s="149">
        <f t="shared" si="6"/>
        <v>7.4792666666666799E-2</v>
      </c>
      <c r="R15" s="144">
        <f t="shared" si="7"/>
        <v>0.74792666666666796</v>
      </c>
      <c r="S15" s="146">
        <f t="shared" si="9"/>
        <v>6.7313400000000074</v>
      </c>
      <c r="V15" s="11">
        <v>45</v>
      </c>
      <c r="W15" s="93">
        <v>7</v>
      </c>
      <c r="Y15" s="96">
        <f t="shared" si="10"/>
        <v>126.76923076923075</v>
      </c>
      <c r="Z15" s="96">
        <f t="shared" si="11"/>
        <v>7.7250000000000005</v>
      </c>
      <c r="AB15" s="11"/>
      <c r="AC15" s="93"/>
      <c r="AE15" s="14"/>
      <c r="AF15" s="93"/>
      <c r="AH15" s="14"/>
      <c r="AI15" s="93"/>
    </row>
    <row r="16" spans="1:35" x14ac:dyDescent="0.45">
      <c r="A16" s="160">
        <v>11</v>
      </c>
      <c r="B16" s="11">
        <v>50</v>
      </c>
      <c r="C16" s="93">
        <v>7</v>
      </c>
      <c r="D16" s="79">
        <f t="shared" si="1"/>
        <v>350</v>
      </c>
      <c r="E16" s="97">
        <f>(D16*Assumptions!B$17)/1000</f>
        <v>175</v>
      </c>
      <c r="F16" s="79">
        <f>D16*Biomass!A$30</f>
        <v>84</v>
      </c>
      <c r="G16" s="97">
        <f>(F16*Assumptions!B$17)/1000</f>
        <v>42</v>
      </c>
      <c r="H16" s="79">
        <f t="shared" si="2"/>
        <v>434</v>
      </c>
      <c r="I16" s="97">
        <f>(H16*Assumptions!B$17)/1000</f>
        <v>217</v>
      </c>
      <c r="J16" s="96">
        <f t="shared" si="3"/>
        <v>101.99</v>
      </c>
      <c r="K16" s="79">
        <f t="shared" si="4"/>
        <v>373.96333333333365</v>
      </c>
      <c r="L16" s="177"/>
      <c r="M16" s="151">
        <f t="shared" si="8"/>
        <v>43.399999999999977</v>
      </c>
      <c r="N16" s="141">
        <f t="shared" si="5"/>
        <v>4.339999999999998E-2</v>
      </c>
      <c r="O16" s="95">
        <f t="shared" si="0"/>
        <v>2.0397999999999989E-2</v>
      </c>
      <c r="P16" s="147">
        <f t="shared" si="6"/>
        <v>7.4792666666666702E-2</v>
      </c>
      <c r="R16" s="143">
        <f t="shared" si="7"/>
        <v>0.74792666666666707</v>
      </c>
      <c r="S16" s="145">
        <f t="shared" si="9"/>
        <v>7.4792666666666747</v>
      </c>
      <c r="V16" s="11">
        <v>50</v>
      </c>
      <c r="W16" s="93">
        <v>7</v>
      </c>
      <c r="Y16" s="96">
        <f t="shared" si="10"/>
        <v>143.13286713286712</v>
      </c>
      <c r="Z16" s="96">
        <f t="shared" si="11"/>
        <v>8.5833333333333339</v>
      </c>
      <c r="AB16" s="11"/>
      <c r="AC16" s="93"/>
      <c r="AE16" s="14"/>
      <c r="AF16" s="93"/>
      <c r="AH16" s="14"/>
      <c r="AI16" s="93"/>
    </row>
    <row r="17" spans="1:35" x14ac:dyDescent="0.45">
      <c r="A17" s="160">
        <v>12</v>
      </c>
      <c r="B17" s="11">
        <v>55</v>
      </c>
      <c r="C17" s="93">
        <v>7</v>
      </c>
      <c r="D17" s="79">
        <f t="shared" si="1"/>
        <v>385</v>
      </c>
      <c r="E17" s="97">
        <f>(D17*Assumptions!B$17)/1000</f>
        <v>192.5</v>
      </c>
      <c r="F17" s="79">
        <f>D17*Biomass!A$30</f>
        <v>92.399999999999991</v>
      </c>
      <c r="G17" s="97">
        <f>(F17*Assumptions!B$17)/1000</f>
        <v>46.199999999999996</v>
      </c>
      <c r="H17" s="79">
        <f t="shared" si="2"/>
        <v>477.4</v>
      </c>
      <c r="I17" s="97">
        <f>(H17*Assumptions!B$17)/1000</f>
        <v>238.7</v>
      </c>
      <c r="J17" s="96">
        <f t="shared" si="3"/>
        <v>112.18899999999999</v>
      </c>
      <c r="K17" s="79">
        <f t="shared" si="4"/>
        <v>411.35966666666701</v>
      </c>
      <c r="L17" s="177"/>
      <c r="M17" s="151">
        <f t="shared" si="8"/>
        <v>43.399999999999977</v>
      </c>
      <c r="N17" s="141">
        <f t="shared" si="5"/>
        <v>4.339999999999998E-2</v>
      </c>
      <c r="O17" s="95">
        <f t="shared" si="0"/>
        <v>2.0397999999999989E-2</v>
      </c>
      <c r="P17" s="147">
        <f t="shared" si="6"/>
        <v>7.4792666666666702E-2</v>
      </c>
      <c r="R17" s="143">
        <f t="shared" si="7"/>
        <v>0.74792666666666707</v>
      </c>
      <c r="S17" s="145">
        <f t="shared" si="9"/>
        <v>8.2271933333333411</v>
      </c>
      <c r="V17" s="11">
        <v>55</v>
      </c>
      <c r="W17" s="93">
        <v>7</v>
      </c>
      <c r="Y17" s="96">
        <f t="shared" si="10"/>
        <v>161.13286713286712</v>
      </c>
      <c r="Z17" s="96">
        <f t="shared" si="11"/>
        <v>9.4416666666666664</v>
      </c>
      <c r="AB17" s="11"/>
      <c r="AC17" s="93"/>
      <c r="AE17" s="14"/>
      <c r="AF17" s="93"/>
      <c r="AH17" s="14"/>
      <c r="AI17" s="93"/>
    </row>
    <row r="18" spans="1:35" x14ac:dyDescent="0.45">
      <c r="A18" s="160">
        <v>13</v>
      </c>
      <c r="B18" s="11">
        <v>60</v>
      </c>
      <c r="C18" s="93">
        <v>7</v>
      </c>
      <c r="D18" s="79">
        <f t="shared" si="1"/>
        <v>420</v>
      </c>
      <c r="E18" s="97">
        <f>(D18*Assumptions!B$17)/1000</f>
        <v>210</v>
      </c>
      <c r="F18" s="79">
        <f>D18*Biomass!A$30</f>
        <v>100.8</v>
      </c>
      <c r="G18" s="97">
        <f>(F18*Assumptions!B$17)/1000</f>
        <v>50.4</v>
      </c>
      <c r="H18" s="79">
        <f t="shared" si="2"/>
        <v>520.79999999999995</v>
      </c>
      <c r="I18" s="97">
        <f>(H18*Assumptions!B$17)/1000</f>
        <v>260.39999999999998</v>
      </c>
      <c r="J18" s="96">
        <f t="shared" si="3"/>
        <v>122.38799999999998</v>
      </c>
      <c r="K18" s="79">
        <f t="shared" si="4"/>
        <v>448.75600000000031</v>
      </c>
      <c r="L18" s="135"/>
      <c r="M18" s="151">
        <f t="shared" si="8"/>
        <v>43.399999999999977</v>
      </c>
      <c r="N18" s="141">
        <f t="shared" si="5"/>
        <v>4.339999999999998E-2</v>
      </c>
      <c r="O18" s="95">
        <f t="shared" si="0"/>
        <v>2.0397999999999989E-2</v>
      </c>
      <c r="P18" s="147">
        <f t="shared" si="6"/>
        <v>7.4792666666666702E-2</v>
      </c>
      <c r="R18" s="143">
        <f t="shared" si="7"/>
        <v>0.74792666666666707</v>
      </c>
      <c r="S18" s="145">
        <f t="shared" si="9"/>
        <v>8.9751200000000075</v>
      </c>
      <c r="V18" s="11">
        <v>60</v>
      </c>
      <c r="W18" s="93">
        <v>7</v>
      </c>
      <c r="Y18" s="11">
        <v>180</v>
      </c>
      <c r="Z18" s="93">
        <v>10.3</v>
      </c>
      <c r="AB18" s="11"/>
      <c r="AC18" s="93"/>
      <c r="AE18" s="14"/>
      <c r="AF18" s="93"/>
      <c r="AH18" s="14"/>
      <c r="AI18" s="93"/>
    </row>
    <row r="19" spans="1:35" x14ac:dyDescent="0.45">
      <c r="A19" s="160">
        <v>14</v>
      </c>
      <c r="B19" s="11">
        <v>65</v>
      </c>
      <c r="C19" s="93">
        <v>7</v>
      </c>
      <c r="D19" s="79">
        <f t="shared" si="1"/>
        <v>455</v>
      </c>
      <c r="E19" s="97">
        <f>(D19*Assumptions!B$17)/1000</f>
        <v>227.5</v>
      </c>
      <c r="F19" s="79">
        <f>D19*Biomass!A$30</f>
        <v>109.2</v>
      </c>
      <c r="G19" s="97">
        <f>(F19*Assumptions!B$17)/1000</f>
        <v>54.6</v>
      </c>
      <c r="H19" s="79">
        <f t="shared" si="2"/>
        <v>564.20000000000005</v>
      </c>
      <c r="I19" s="97">
        <f>(H19*Assumptions!B$17)/1000</f>
        <v>282.10000000000002</v>
      </c>
      <c r="J19" s="96">
        <f t="shared" si="3"/>
        <v>132.58699999999999</v>
      </c>
      <c r="K19" s="79">
        <f t="shared" si="4"/>
        <v>486.15233333333373</v>
      </c>
      <c r="L19" s="135"/>
      <c r="M19" s="151">
        <f t="shared" si="8"/>
        <v>43.400000000000091</v>
      </c>
      <c r="N19" s="141">
        <f t="shared" si="5"/>
        <v>4.3400000000000091E-2</v>
      </c>
      <c r="O19" s="95">
        <f t="shared" si="0"/>
        <v>2.0398000000000041E-2</v>
      </c>
      <c r="P19" s="147">
        <f t="shared" si="6"/>
        <v>7.4792666666666882E-2</v>
      </c>
      <c r="R19" s="143">
        <f t="shared" si="7"/>
        <v>0.74792666666666885</v>
      </c>
      <c r="S19" s="145">
        <f t="shared" si="9"/>
        <v>9.7230466666666757</v>
      </c>
      <c r="V19" s="11">
        <v>65</v>
      </c>
      <c r="W19" s="93">
        <v>7</v>
      </c>
      <c r="Y19" s="97">
        <v>180</v>
      </c>
      <c r="Z19" s="97">
        <v>10.3</v>
      </c>
      <c r="AB19" s="11"/>
      <c r="AC19" s="93"/>
      <c r="AE19" s="14"/>
      <c r="AF19" s="93"/>
      <c r="AH19" s="14"/>
      <c r="AI19" s="93"/>
    </row>
    <row r="20" spans="1:35" x14ac:dyDescent="0.45">
      <c r="A20" s="160">
        <v>15</v>
      </c>
      <c r="B20" s="11">
        <v>70</v>
      </c>
      <c r="C20" s="93">
        <v>7</v>
      </c>
      <c r="D20" s="79">
        <f>C20*B20</f>
        <v>490</v>
      </c>
      <c r="E20" s="97">
        <f>(D20*Assumptions!B$17)/1000</f>
        <v>245</v>
      </c>
      <c r="F20" s="79">
        <f>D20*Biomass!A$30</f>
        <v>117.6</v>
      </c>
      <c r="G20" s="97">
        <f>(F20*Assumptions!B$17)/1000</f>
        <v>58.8</v>
      </c>
      <c r="H20" s="79">
        <f t="shared" si="2"/>
        <v>607.6</v>
      </c>
      <c r="I20" s="97">
        <f>(H20*Assumptions!B$17)/1000</f>
        <v>303.8</v>
      </c>
      <c r="J20" s="96">
        <f t="shared" si="3"/>
        <v>142.786</v>
      </c>
      <c r="K20" s="79">
        <f t="shared" si="4"/>
        <v>523.54866666666715</v>
      </c>
      <c r="L20" s="135"/>
      <c r="M20" s="151">
        <f t="shared" si="8"/>
        <v>43.399999999999977</v>
      </c>
      <c r="N20" s="141">
        <f t="shared" si="5"/>
        <v>4.339999999999998E-2</v>
      </c>
      <c r="O20" s="95">
        <f t="shared" si="0"/>
        <v>2.0397999999999989E-2</v>
      </c>
      <c r="P20" s="147">
        <f t="shared" si="6"/>
        <v>7.4792666666666702E-2</v>
      </c>
      <c r="R20" s="143">
        <f t="shared" si="7"/>
        <v>0.74792666666666707</v>
      </c>
      <c r="S20" s="145">
        <f t="shared" si="9"/>
        <v>10.470973333333342</v>
      </c>
      <c r="V20" s="11">
        <v>70</v>
      </c>
      <c r="W20" s="93">
        <v>7</v>
      </c>
      <c r="Y20" s="97">
        <v>180</v>
      </c>
      <c r="Z20" s="97">
        <v>10.3</v>
      </c>
      <c r="AB20" s="11"/>
      <c r="AC20" s="93"/>
      <c r="AE20" s="14"/>
      <c r="AF20" s="93"/>
      <c r="AH20" s="14"/>
      <c r="AI20" s="93"/>
    </row>
    <row r="21" spans="1:35" x14ac:dyDescent="0.45">
      <c r="A21" s="160">
        <v>16</v>
      </c>
      <c r="B21" s="11">
        <v>75</v>
      </c>
      <c r="C21" s="93">
        <v>7</v>
      </c>
      <c r="D21" s="79">
        <f t="shared" si="1"/>
        <v>525</v>
      </c>
      <c r="E21" s="97">
        <f>(D21*Assumptions!B$17)/1000</f>
        <v>262.5</v>
      </c>
      <c r="F21" s="79">
        <f>D21*Biomass!A$30</f>
        <v>126</v>
      </c>
      <c r="G21" s="97">
        <f>(F21*Assumptions!B$17)/1000</f>
        <v>63</v>
      </c>
      <c r="H21" s="79">
        <f t="shared" si="2"/>
        <v>651</v>
      </c>
      <c r="I21" s="97">
        <f>(H21*Assumptions!B$17)/1000</f>
        <v>325.5</v>
      </c>
      <c r="J21" s="96">
        <f t="shared" si="3"/>
        <v>152.98499999999999</v>
      </c>
      <c r="K21" s="79">
        <f t="shared" si="4"/>
        <v>560.9450000000005</v>
      </c>
      <c r="L21" s="135"/>
      <c r="M21" s="151">
        <f t="shared" si="8"/>
        <v>43.399999999999977</v>
      </c>
      <c r="N21" s="141">
        <f t="shared" si="5"/>
        <v>4.339999999999998E-2</v>
      </c>
      <c r="O21" s="95">
        <f t="shared" si="0"/>
        <v>2.0397999999999989E-2</v>
      </c>
      <c r="P21" s="147">
        <f t="shared" si="6"/>
        <v>7.4792666666666702E-2</v>
      </c>
      <c r="R21" s="143">
        <f t="shared" si="7"/>
        <v>0.74792666666666707</v>
      </c>
      <c r="S21" s="145">
        <f t="shared" si="9"/>
        <v>11.218900000000009</v>
      </c>
      <c r="V21" s="11">
        <v>75</v>
      </c>
      <c r="W21" s="93">
        <v>7</v>
      </c>
      <c r="Y21" s="97">
        <v>180</v>
      </c>
      <c r="Z21" s="97">
        <v>10.3</v>
      </c>
      <c r="AB21" s="11"/>
      <c r="AC21" s="93"/>
      <c r="AE21" s="14"/>
      <c r="AF21" s="93"/>
      <c r="AH21" s="14"/>
      <c r="AI21" s="93"/>
    </row>
    <row r="22" spans="1:35" x14ac:dyDescent="0.45">
      <c r="A22" s="160">
        <v>17</v>
      </c>
      <c r="B22" s="11">
        <v>78</v>
      </c>
      <c r="C22" s="93">
        <v>7</v>
      </c>
      <c r="D22" s="79">
        <f t="shared" si="1"/>
        <v>546</v>
      </c>
      <c r="E22" s="97">
        <f>(D22*Assumptions!B$17)/1000</f>
        <v>273</v>
      </c>
      <c r="F22" s="79">
        <f>D22*Biomass!A$30</f>
        <v>131.04</v>
      </c>
      <c r="G22" s="97">
        <f>(F22*Assumptions!B$17)/1000</f>
        <v>65.52</v>
      </c>
      <c r="H22" s="79">
        <f t="shared" si="2"/>
        <v>677.04</v>
      </c>
      <c r="I22" s="97">
        <f>(H22*Assumptions!B$17)/1000</f>
        <v>338.52</v>
      </c>
      <c r="J22" s="96">
        <f t="shared" si="3"/>
        <v>159.10439999999997</v>
      </c>
      <c r="K22" s="79">
        <f t="shared" si="4"/>
        <v>583.38280000000043</v>
      </c>
      <c r="L22" s="135"/>
      <c r="M22" s="151">
        <f t="shared" si="8"/>
        <v>26.039999999999964</v>
      </c>
      <c r="N22" s="141">
        <f t="shared" si="5"/>
        <v>2.6039999999999962E-2</v>
      </c>
      <c r="O22" s="95">
        <f t="shared" si="0"/>
        <v>1.2238799999999982E-2</v>
      </c>
      <c r="P22" s="147">
        <f t="shared" si="6"/>
        <v>4.4875599999999974E-2</v>
      </c>
      <c r="R22" s="143">
        <f t="shared" si="7"/>
        <v>0.44875599999999971</v>
      </c>
      <c r="S22" s="145">
        <f t="shared" si="9"/>
        <v>11.667656000000008</v>
      </c>
      <c r="V22" s="11">
        <v>78</v>
      </c>
      <c r="W22" s="93">
        <v>7</v>
      </c>
      <c r="Y22" s="97">
        <v>180</v>
      </c>
      <c r="Z22" s="97">
        <v>10.3</v>
      </c>
      <c r="AB22" s="11"/>
      <c r="AC22" s="93"/>
      <c r="AE22" s="14"/>
      <c r="AF22" s="93"/>
      <c r="AH22" s="14"/>
      <c r="AI22" s="93"/>
    </row>
    <row r="23" spans="1:35" x14ac:dyDescent="0.45">
      <c r="A23" s="160">
        <v>18</v>
      </c>
      <c r="B23" s="11">
        <v>80</v>
      </c>
      <c r="C23" s="93">
        <v>7</v>
      </c>
      <c r="D23" s="79">
        <f>C23*B23</f>
        <v>560</v>
      </c>
      <c r="E23" s="97">
        <f>(D23*Assumptions!B$17)/1000</f>
        <v>280</v>
      </c>
      <c r="F23" s="79">
        <f>D23*Biomass!A$30</f>
        <v>134.4</v>
      </c>
      <c r="G23" s="97">
        <f>(F23*Assumptions!B$17)/1000</f>
        <v>67.2</v>
      </c>
      <c r="H23" s="79">
        <f t="shared" si="2"/>
        <v>694.4</v>
      </c>
      <c r="I23" s="97">
        <f>(H23*Assumptions!B$17)/1000</f>
        <v>347.2</v>
      </c>
      <c r="J23" s="96">
        <f t="shared" si="3"/>
        <v>163.184</v>
      </c>
      <c r="K23" s="79">
        <f t="shared" si="4"/>
        <v>598.34133333333386</v>
      </c>
      <c r="L23" s="135"/>
      <c r="M23" s="151">
        <f t="shared" si="8"/>
        <v>17.360000000000014</v>
      </c>
      <c r="N23" s="141">
        <f t="shared" si="5"/>
        <v>1.7360000000000014E-2</v>
      </c>
      <c r="O23" s="95">
        <f t="shared" si="0"/>
        <v>8.1592000000000071E-3</v>
      </c>
      <c r="P23" s="147">
        <f t="shared" si="6"/>
        <v>2.9917066666666721E-2</v>
      </c>
      <c r="R23" s="143">
        <f t="shared" si="7"/>
        <v>0.2991706666666672</v>
      </c>
      <c r="S23" s="145">
        <f t="shared" si="9"/>
        <v>11.966826666666675</v>
      </c>
      <c r="V23" s="11">
        <v>80</v>
      </c>
      <c r="W23" s="93">
        <v>7</v>
      </c>
      <c r="Y23" s="97">
        <v>180</v>
      </c>
      <c r="Z23" s="97">
        <v>10.3</v>
      </c>
      <c r="AB23" s="11"/>
      <c r="AC23" s="93"/>
      <c r="AE23" s="14"/>
      <c r="AF23" s="93"/>
      <c r="AH23" s="14"/>
      <c r="AI23" s="93"/>
    </row>
    <row r="24" spans="1:35" x14ac:dyDescent="0.45">
      <c r="A24" s="160">
        <v>19</v>
      </c>
      <c r="B24" s="11">
        <v>82</v>
      </c>
      <c r="C24" s="93">
        <v>7</v>
      </c>
      <c r="D24" s="79">
        <f t="shared" si="1"/>
        <v>574</v>
      </c>
      <c r="E24" s="97">
        <f>(D24*Assumptions!B$17)/1000</f>
        <v>287</v>
      </c>
      <c r="F24" s="79">
        <f>D24*Biomass!A$30</f>
        <v>137.76</v>
      </c>
      <c r="G24" s="97">
        <f>(F24*Assumptions!B$17)/1000</f>
        <v>68.88</v>
      </c>
      <c r="H24" s="79">
        <f t="shared" si="2"/>
        <v>711.76</v>
      </c>
      <c r="I24" s="97">
        <f>(H24*Assumptions!B$17)/1000</f>
        <v>355.88</v>
      </c>
      <c r="J24" s="96">
        <f t="shared" si="3"/>
        <v>167.2636</v>
      </c>
      <c r="K24" s="79">
        <f t="shared" si="4"/>
        <v>613.29986666666719</v>
      </c>
      <c r="L24" s="135"/>
      <c r="M24" s="151">
        <f t="shared" si="8"/>
        <v>17.360000000000014</v>
      </c>
      <c r="N24" s="141">
        <f t="shared" si="5"/>
        <v>1.7360000000000014E-2</v>
      </c>
      <c r="O24" s="95">
        <f t="shared" si="0"/>
        <v>8.1592000000000071E-3</v>
      </c>
      <c r="P24" s="147">
        <f t="shared" si="6"/>
        <v>2.9917066666666721E-2</v>
      </c>
      <c r="R24" s="143">
        <f t="shared" si="7"/>
        <v>0.2991706666666672</v>
      </c>
      <c r="S24" s="145">
        <f t="shared" si="9"/>
        <v>12.265997333333342</v>
      </c>
      <c r="V24" s="11">
        <v>82</v>
      </c>
      <c r="W24" s="93">
        <v>7</v>
      </c>
      <c r="Y24" s="97">
        <v>180</v>
      </c>
      <c r="Z24" s="97">
        <v>10.3</v>
      </c>
      <c r="AB24" s="11"/>
      <c r="AC24" s="93"/>
      <c r="AE24" s="14"/>
      <c r="AF24" s="93"/>
      <c r="AH24" s="14"/>
      <c r="AI24" s="93"/>
    </row>
    <row r="25" spans="1:35" x14ac:dyDescent="0.45">
      <c r="A25" s="161">
        <v>20</v>
      </c>
      <c r="B25" s="162">
        <v>84</v>
      </c>
      <c r="C25" s="163">
        <v>7</v>
      </c>
      <c r="D25" s="164">
        <f t="shared" si="1"/>
        <v>588</v>
      </c>
      <c r="E25" s="165">
        <f>(D25*Assumptions!B$17)/1000</f>
        <v>294</v>
      </c>
      <c r="F25" s="164">
        <f>D25*Biomass!A$30</f>
        <v>141.12</v>
      </c>
      <c r="G25" s="165">
        <f>(F25*Assumptions!B$17)/1000</f>
        <v>70.56</v>
      </c>
      <c r="H25" s="164">
        <f>D25+F25</f>
        <v>729.12</v>
      </c>
      <c r="I25" s="165">
        <f>(H25*Assumptions!B$17)/1000</f>
        <v>364.56</v>
      </c>
      <c r="J25" s="166">
        <f t="shared" si="3"/>
        <v>171.3432</v>
      </c>
      <c r="K25" s="164">
        <f t="shared" si="4"/>
        <v>628.25840000000062</v>
      </c>
      <c r="L25" s="135"/>
      <c r="M25" s="152">
        <f t="shared" si="8"/>
        <v>17.360000000000014</v>
      </c>
      <c r="N25" s="170">
        <f t="shared" si="5"/>
        <v>1.7360000000000014E-2</v>
      </c>
      <c r="O25" s="148">
        <f t="shared" si="0"/>
        <v>8.1592000000000071E-3</v>
      </c>
      <c r="P25" s="149">
        <f t="shared" si="6"/>
        <v>2.9917066666666721E-2</v>
      </c>
      <c r="R25" s="144">
        <f t="shared" si="7"/>
        <v>0.2991706666666672</v>
      </c>
      <c r="S25" s="146">
        <f t="shared" si="9"/>
        <v>12.565168000000009</v>
      </c>
      <c r="V25" s="11">
        <v>84</v>
      </c>
      <c r="W25" s="93">
        <v>7</v>
      </c>
      <c r="Y25" s="97">
        <v>180</v>
      </c>
      <c r="Z25" s="97">
        <v>10.3</v>
      </c>
      <c r="AB25" s="11"/>
      <c r="AC25" s="93"/>
      <c r="AE25" s="14"/>
      <c r="AF25" s="93"/>
      <c r="AH25" s="14"/>
      <c r="AI25" s="93"/>
    </row>
    <row r="26" spans="1:35" x14ac:dyDescent="0.45">
      <c r="A26"/>
      <c r="B26" s="236" t="s">
        <v>135</v>
      </c>
      <c r="C26" s="236"/>
      <c r="D26"/>
      <c r="E26"/>
      <c r="N26" s="140"/>
    </row>
    <row r="27" spans="1:35" x14ac:dyDescent="0.45">
      <c r="A27"/>
      <c r="C27"/>
      <c r="D27"/>
      <c r="E27"/>
    </row>
    <row r="28" spans="1:35" x14ac:dyDescent="0.45">
      <c r="A28" s="9">
        <v>0.47</v>
      </c>
      <c r="B28" s="7" t="s">
        <v>161</v>
      </c>
    </row>
    <row r="29" spans="1:35" ht="15.75" x14ac:dyDescent="0.55000000000000004">
      <c r="A29" s="16">
        <v>3.6666666666666701</v>
      </c>
      <c r="B29" s="7" t="s">
        <v>162</v>
      </c>
    </row>
    <row r="30" spans="1:35" x14ac:dyDescent="0.45">
      <c r="A30" s="8">
        <v>0.24</v>
      </c>
      <c r="B30" s="15" t="s">
        <v>163</v>
      </c>
      <c r="D30" s="138" t="s">
        <v>164</v>
      </c>
    </row>
    <row r="33" spans="1:3" x14ac:dyDescent="0.45">
      <c r="A33" s="133" t="s">
        <v>165</v>
      </c>
      <c r="B33" s="65"/>
      <c r="C33" s="65"/>
    </row>
    <row r="34" spans="1:3" x14ac:dyDescent="0.45">
      <c r="A34" s="132" t="s">
        <v>166</v>
      </c>
      <c r="B34" s="65"/>
      <c r="C34" s="65"/>
    </row>
    <row r="35" spans="1:3" x14ac:dyDescent="0.45">
      <c r="A35" s="132" t="s">
        <v>167</v>
      </c>
      <c r="B35" s="65"/>
      <c r="C35" s="65"/>
    </row>
    <row r="36" spans="1:3" x14ac:dyDescent="0.45">
      <c r="A36" s="132" t="s">
        <v>168</v>
      </c>
    </row>
    <row r="52" spans="1:4" x14ac:dyDescent="0.45">
      <c r="A52" s="91"/>
      <c r="B52" s="90"/>
      <c r="D52" s="91"/>
    </row>
    <row r="53" spans="1:4" x14ac:dyDescent="0.45">
      <c r="A53" s="91"/>
      <c r="B53" s="90"/>
      <c r="D53" s="91"/>
    </row>
    <row r="54" spans="1:4" x14ac:dyDescent="0.45">
      <c r="A54" s="91"/>
      <c r="B54" s="90"/>
      <c r="D54" s="91"/>
    </row>
    <row r="55" spans="1:4" x14ac:dyDescent="0.45">
      <c r="A55" s="91"/>
      <c r="B55" s="90"/>
      <c r="D55" s="91"/>
    </row>
    <row r="56" spans="1:4" x14ac:dyDescent="0.45">
      <c r="A56" s="91"/>
      <c r="B56" s="90"/>
      <c r="D56" s="91"/>
    </row>
    <row r="57" spans="1:4" x14ac:dyDescent="0.45">
      <c r="A57" s="91"/>
      <c r="B57" s="90"/>
      <c r="D57" s="91"/>
    </row>
    <row r="58" spans="1:4" x14ac:dyDescent="0.45">
      <c r="A58" s="91"/>
      <c r="B58" s="90"/>
      <c r="D58" s="91"/>
    </row>
    <row r="59" spans="1:4" x14ac:dyDescent="0.45">
      <c r="A59" s="91"/>
      <c r="B59" s="90"/>
      <c r="D59" s="91"/>
    </row>
    <row r="60" spans="1:4" x14ac:dyDescent="0.45">
      <c r="A60" s="91"/>
      <c r="B60" s="90"/>
      <c r="D60" s="91"/>
    </row>
    <row r="61" spans="1:4" x14ac:dyDescent="0.45">
      <c r="A61" s="91"/>
      <c r="B61" s="90"/>
      <c r="D61" s="91"/>
    </row>
    <row r="62" spans="1:4" x14ac:dyDescent="0.45">
      <c r="A62" s="91"/>
      <c r="D62" s="92"/>
    </row>
    <row r="63" spans="1:4" x14ac:dyDescent="0.45">
      <c r="A63" s="91"/>
      <c r="D63" s="92"/>
    </row>
  </sheetData>
  <mergeCells count="10">
    <mergeCell ref="B26:C26"/>
    <mergeCell ref="V4:W4"/>
    <mergeCell ref="M4:P4"/>
    <mergeCell ref="R2:T2"/>
    <mergeCell ref="Y4:Z4"/>
    <mergeCell ref="AB4:AC4"/>
    <mergeCell ref="AE4:AF4"/>
    <mergeCell ref="AH4:AI4"/>
    <mergeCell ref="A1:Y1"/>
    <mergeCell ref="B3:C3"/>
  </mergeCells>
  <phoneticPr fontId="8" type="noConversion"/>
  <pageMargins left="0.7" right="0.7" top="0.75" bottom="0.75" header="0.3" footer="0.3"/>
  <legacy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98AF51-8056-43C8-A327-00FE1BA9413A}">
  <dimension ref="A1:AA25"/>
  <sheetViews>
    <sheetView topLeftCell="C1" workbookViewId="0">
      <selection activeCell="E10" sqref="E10"/>
    </sheetView>
  </sheetViews>
  <sheetFormatPr defaultRowHeight="14.25" x14ac:dyDescent="0.45"/>
  <cols>
    <col min="1" max="1" width="15" customWidth="1"/>
    <col min="2" max="2" width="12" customWidth="1"/>
    <col min="3" max="3" width="35" customWidth="1"/>
    <col min="4" max="4" width="20" customWidth="1"/>
    <col min="5" max="26" width="11" customWidth="1"/>
  </cols>
  <sheetData>
    <row r="1" spans="1:24" x14ac:dyDescent="0.45">
      <c r="A1" s="233" t="s">
        <v>169</v>
      </c>
      <c r="B1" s="234"/>
      <c r="C1" s="234"/>
      <c r="D1" s="234"/>
      <c r="E1" s="234"/>
      <c r="F1" s="234"/>
      <c r="G1" s="234"/>
      <c r="H1" s="234"/>
      <c r="I1" s="234"/>
      <c r="J1" s="234"/>
      <c r="K1" s="234"/>
      <c r="L1" s="234"/>
      <c r="M1" s="234"/>
      <c r="N1" s="234"/>
      <c r="O1" s="234"/>
      <c r="P1" s="234"/>
      <c r="Q1" s="234"/>
      <c r="R1" s="234"/>
      <c r="S1" s="234"/>
      <c r="T1" s="234"/>
      <c r="U1" s="234"/>
      <c r="V1" s="234"/>
      <c r="W1" s="234"/>
      <c r="X1" s="235"/>
    </row>
    <row r="4" spans="1:24" x14ac:dyDescent="0.45">
      <c r="A4" s="1" t="s">
        <v>87</v>
      </c>
      <c r="B4" s="1" t="s">
        <v>88</v>
      </c>
      <c r="C4" s="1" t="s">
        <v>170</v>
      </c>
      <c r="D4" s="64" t="s">
        <v>171</v>
      </c>
      <c r="E4" s="64" t="s">
        <v>91</v>
      </c>
      <c r="F4" s="64" t="s">
        <v>92</v>
      </c>
      <c r="G4" s="64" t="s">
        <v>93</v>
      </c>
      <c r="H4" s="64" t="s">
        <v>94</v>
      </c>
      <c r="I4" s="64" t="s">
        <v>95</v>
      </c>
      <c r="J4" s="64" t="s">
        <v>96</v>
      </c>
      <c r="K4" s="64" t="s">
        <v>97</v>
      </c>
      <c r="L4" s="64" t="s">
        <v>98</v>
      </c>
      <c r="M4" s="64" t="s">
        <v>99</v>
      </c>
      <c r="N4" s="64" t="s">
        <v>100</v>
      </c>
      <c r="O4" s="64" t="s">
        <v>101</v>
      </c>
      <c r="P4" s="64" t="s">
        <v>102</v>
      </c>
      <c r="Q4" s="64" t="s">
        <v>103</v>
      </c>
      <c r="R4" s="64" t="s">
        <v>104</v>
      </c>
      <c r="S4" s="64" t="s">
        <v>105</v>
      </c>
      <c r="T4" s="64" t="s">
        <v>106</v>
      </c>
      <c r="U4" s="64" t="s">
        <v>107</v>
      </c>
      <c r="V4" s="64" t="s">
        <v>108</v>
      </c>
      <c r="W4" s="64" t="s">
        <v>109</v>
      </c>
      <c r="X4" s="64" t="s">
        <v>110</v>
      </c>
    </row>
    <row r="5" spans="1:24" x14ac:dyDescent="0.45">
      <c r="B5" s="58" t="s">
        <v>172</v>
      </c>
      <c r="C5" s="15" t="s">
        <v>173</v>
      </c>
      <c r="D5" s="56">
        <v>50</v>
      </c>
      <c r="E5" s="57">
        <f>$D5*Assumptions!E9</f>
        <v>100000</v>
      </c>
      <c r="F5" s="57">
        <f>$D5*Assumptions!F9</f>
        <v>100000</v>
      </c>
      <c r="G5" s="57">
        <f>$D5*Assumptions!G9</f>
        <v>0</v>
      </c>
      <c r="H5" s="57">
        <f>$D5*Assumptions!H9</f>
        <v>0</v>
      </c>
      <c r="I5" s="57">
        <f>$D5*Assumptions!I9</f>
        <v>0</v>
      </c>
      <c r="J5" s="57">
        <f>$D5*Assumptions!J9</f>
        <v>0</v>
      </c>
      <c r="K5" s="57">
        <f>$D5*Assumptions!K9</f>
        <v>0</v>
      </c>
      <c r="L5" s="57">
        <f>$D5*Assumptions!L9</f>
        <v>0</v>
      </c>
      <c r="M5" s="57">
        <f>$D5*Assumptions!M9</f>
        <v>0</v>
      </c>
      <c r="N5" s="57">
        <f>$D5*Assumptions!N9</f>
        <v>0</v>
      </c>
      <c r="O5" s="57">
        <f>$D5*Assumptions!O9</f>
        <v>0</v>
      </c>
      <c r="P5" s="57">
        <f>$D5*Assumptions!P9</f>
        <v>0</v>
      </c>
      <c r="Q5" s="57">
        <f>$D5*Assumptions!Q9</f>
        <v>0</v>
      </c>
      <c r="R5" s="57">
        <f>$D5*Assumptions!R9</f>
        <v>0</v>
      </c>
      <c r="S5" s="57">
        <f>$D5*Assumptions!S9</f>
        <v>0</v>
      </c>
      <c r="T5" s="57">
        <f>$D5*Assumptions!T9</f>
        <v>0</v>
      </c>
      <c r="U5" s="57">
        <f>$D5*Assumptions!U9</f>
        <v>0</v>
      </c>
      <c r="V5" s="57">
        <f>$D5*Assumptions!V9</f>
        <v>0</v>
      </c>
      <c r="W5" s="57">
        <f>$D5*Assumptions!W9</f>
        <v>0</v>
      </c>
      <c r="X5" s="57">
        <f>$D5*Assumptions!X9</f>
        <v>0</v>
      </c>
    </row>
    <row r="6" spans="1:24" x14ac:dyDescent="0.45">
      <c r="B6" t="s">
        <v>172</v>
      </c>
      <c r="C6" s="15" t="s">
        <v>174</v>
      </c>
      <c r="D6" s="61">
        <v>1.5</v>
      </c>
      <c r="E6" s="57">
        <f>$D6*(Assumptions!E9*Assumptions!$B17)</f>
        <v>1500000</v>
      </c>
      <c r="F6" s="57">
        <f>$D6*(Assumptions!F9*Assumptions!$B17)</f>
        <v>1500000</v>
      </c>
      <c r="G6" s="57">
        <f>$D6*(Assumptions!G9*Assumptions!$B17)</f>
        <v>0</v>
      </c>
      <c r="H6" s="57">
        <f>$D6*(Assumptions!H9*Assumptions!$B17)</f>
        <v>0</v>
      </c>
      <c r="I6" s="57">
        <f>$D6*(Assumptions!I9*Assumptions!$B17)</f>
        <v>0</v>
      </c>
      <c r="J6" s="57">
        <f>$D6*(Assumptions!J9*Assumptions!$B17)</f>
        <v>0</v>
      </c>
      <c r="K6" s="57">
        <f>$D6*(Assumptions!K9*Assumptions!$B17)</f>
        <v>0</v>
      </c>
      <c r="L6" s="57">
        <f>$D6*(Assumptions!L9*Assumptions!$B17)</f>
        <v>0</v>
      </c>
      <c r="M6" s="57">
        <f>$D6*(Assumptions!M9*Assumptions!$B17)</f>
        <v>0</v>
      </c>
      <c r="N6" s="57">
        <f>$D6*(Assumptions!N9*Assumptions!$B17)</f>
        <v>0</v>
      </c>
      <c r="O6" s="57">
        <f>$D6*(Assumptions!O9*Assumptions!$B17)</f>
        <v>0</v>
      </c>
      <c r="P6" s="57">
        <f>$D6*(Assumptions!P9*Assumptions!$B17)</f>
        <v>0</v>
      </c>
      <c r="Q6" s="57">
        <f>$D6*(Assumptions!Q9*Assumptions!$B17)</f>
        <v>0</v>
      </c>
      <c r="R6" s="57">
        <f>$D6*(Assumptions!R9*Assumptions!$B17)</f>
        <v>0</v>
      </c>
      <c r="S6" s="57">
        <f>$D6*(Assumptions!S9*Assumptions!$B17)</f>
        <v>0</v>
      </c>
      <c r="T6" s="57">
        <f>$D6*(Assumptions!T9*Assumptions!$B17)</f>
        <v>0</v>
      </c>
      <c r="U6" s="57">
        <f>$D6*(Assumptions!U9*Assumptions!$B17)</f>
        <v>0</v>
      </c>
      <c r="V6" s="57">
        <f>$D6*(Assumptions!V9*Assumptions!$B17)</f>
        <v>0</v>
      </c>
      <c r="W6" s="57">
        <f>$D6*(Assumptions!W9*Assumptions!$B17)</f>
        <v>0</v>
      </c>
      <c r="X6" s="57">
        <f>$D6*(Assumptions!X9*Assumptions!$B17)</f>
        <v>0</v>
      </c>
    </row>
    <row r="7" spans="1:24" x14ac:dyDescent="0.45">
      <c r="B7" t="s">
        <v>172</v>
      </c>
      <c r="C7" s="15" t="s">
        <v>175</v>
      </c>
      <c r="D7" s="56">
        <v>25</v>
      </c>
      <c r="E7" s="57">
        <f>$D7*Assumptions!E9</f>
        <v>50000</v>
      </c>
      <c r="F7" s="57">
        <f>$D7*Assumptions!F9</f>
        <v>50000</v>
      </c>
      <c r="G7" s="57">
        <f>$D7*Assumptions!G9</f>
        <v>0</v>
      </c>
      <c r="H7" s="57">
        <f>$D7*Assumptions!H9</f>
        <v>0</v>
      </c>
      <c r="I7" s="57">
        <f>$D7*Assumptions!I9</f>
        <v>0</v>
      </c>
      <c r="J7" s="57">
        <f>$D7*Assumptions!J9</f>
        <v>0</v>
      </c>
      <c r="K7" s="57">
        <f>$D7*Assumptions!K9</f>
        <v>0</v>
      </c>
      <c r="L7" s="57">
        <f>$D7*Assumptions!L9</f>
        <v>0</v>
      </c>
      <c r="M7" s="57">
        <f>$D7*Assumptions!M9</f>
        <v>0</v>
      </c>
      <c r="N7" s="57">
        <f>$D7*Assumptions!N9</f>
        <v>0</v>
      </c>
      <c r="O7" s="57">
        <f>$D7*Assumptions!O9</f>
        <v>0</v>
      </c>
      <c r="P7" s="57">
        <f>$D7*Assumptions!P9</f>
        <v>0</v>
      </c>
      <c r="Q7" s="57">
        <f>$D7*Assumptions!Q9</f>
        <v>0</v>
      </c>
      <c r="R7" s="57">
        <f>$D7*Assumptions!R9</f>
        <v>0</v>
      </c>
      <c r="S7" s="57">
        <f>$D7*Assumptions!S9</f>
        <v>0</v>
      </c>
      <c r="T7" s="57">
        <f>$D7*Assumptions!T9</f>
        <v>0</v>
      </c>
      <c r="U7" s="57">
        <f>$D7*Assumptions!U9</f>
        <v>0</v>
      </c>
      <c r="V7" s="57">
        <f>$D7*Assumptions!V9</f>
        <v>0</v>
      </c>
      <c r="W7" s="57">
        <f>$D7*Assumptions!W9</f>
        <v>0</v>
      </c>
      <c r="X7" s="57">
        <f>$D7*Assumptions!X9</f>
        <v>0</v>
      </c>
    </row>
    <row r="8" spans="1:24" x14ac:dyDescent="0.45">
      <c r="B8" t="s">
        <v>172</v>
      </c>
      <c r="C8" s="15" t="s">
        <v>176</v>
      </c>
      <c r="D8" s="56">
        <v>0</v>
      </c>
      <c r="E8" s="57">
        <f>$D8*Assumptions!E9</f>
        <v>0</v>
      </c>
      <c r="F8" s="57">
        <f>$D8*Assumptions!F9</f>
        <v>0</v>
      </c>
      <c r="G8" s="57">
        <f>$D8*Assumptions!G9</f>
        <v>0</v>
      </c>
      <c r="H8" s="57">
        <f>$D8*Assumptions!H9</f>
        <v>0</v>
      </c>
      <c r="I8" s="57">
        <f>$D8*Assumptions!I9</f>
        <v>0</v>
      </c>
      <c r="J8" s="57">
        <f>$D8*Assumptions!J9</f>
        <v>0</v>
      </c>
      <c r="K8" s="57">
        <f>$D8*Assumptions!K9</f>
        <v>0</v>
      </c>
      <c r="L8" s="57">
        <f>$D8*Assumptions!L9</f>
        <v>0</v>
      </c>
      <c r="M8" s="57">
        <f>$D8*Assumptions!M9</f>
        <v>0</v>
      </c>
      <c r="N8" s="57">
        <f>$D8*Assumptions!N9</f>
        <v>0</v>
      </c>
      <c r="O8" s="57">
        <f>$D8*Assumptions!O9</f>
        <v>0</v>
      </c>
      <c r="P8" s="57">
        <f>$D8*Assumptions!P9</f>
        <v>0</v>
      </c>
      <c r="Q8" s="57">
        <f>$D8*Assumptions!Q9</f>
        <v>0</v>
      </c>
      <c r="R8" s="57">
        <f>$D8*Assumptions!R9</f>
        <v>0</v>
      </c>
      <c r="S8" s="57">
        <f>$D8*Assumptions!S9</f>
        <v>0</v>
      </c>
      <c r="T8" s="57">
        <f>$D8*Assumptions!T9</f>
        <v>0</v>
      </c>
      <c r="U8" s="57">
        <f>$D8*Assumptions!U9</f>
        <v>0</v>
      </c>
      <c r="V8" s="57">
        <f>$D8*Assumptions!V9</f>
        <v>0</v>
      </c>
      <c r="W8" s="57">
        <f>$D8*Assumptions!W9</f>
        <v>0</v>
      </c>
      <c r="X8" s="57">
        <f>$D8*Assumptions!X9</f>
        <v>0</v>
      </c>
    </row>
    <row r="9" spans="1:24" x14ac:dyDescent="0.45">
      <c r="B9" t="s">
        <v>172</v>
      </c>
      <c r="C9" s="15" t="s">
        <v>177</v>
      </c>
      <c r="D9" s="56">
        <v>100000</v>
      </c>
      <c r="E9" s="56">
        <f>D9</f>
        <v>100000</v>
      </c>
      <c r="F9" s="112"/>
      <c r="G9" s="112"/>
      <c r="H9" s="112"/>
      <c r="I9" s="112"/>
      <c r="J9" s="112"/>
      <c r="K9" s="112"/>
      <c r="L9" s="112"/>
      <c r="M9" s="112"/>
      <c r="N9" s="112"/>
      <c r="O9" s="112"/>
      <c r="P9" s="112"/>
      <c r="Q9" s="112"/>
      <c r="R9" s="112"/>
      <c r="S9" s="112"/>
      <c r="T9" s="112"/>
      <c r="U9" s="112"/>
      <c r="V9" s="112"/>
      <c r="W9" s="112"/>
      <c r="X9" s="112"/>
    </row>
    <row r="10" spans="1:24" x14ac:dyDescent="0.45">
      <c r="B10" t="s">
        <v>172</v>
      </c>
      <c r="C10" s="15" t="s">
        <v>178</v>
      </c>
      <c r="D10" s="56">
        <v>150000</v>
      </c>
      <c r="E10" s="56">
        <f>D10</f>
        <v>150000</v>
      </c>
      <c r="F10" s="112"/>
      <c r="G10" s="112"/>
      <c r="H10" s="112"/>
      <c r="I10" s="112"/>
      <c r="J10" s="112"/>
      <c r="K10" s="112"/>
      <c r="L10" s="112"/>
      <c r="M10" s="112"/>
      <c r="N10" s="112"/>
      <c r="O10" s="112"/>
      <c r="P10" s="112"/>
      <c r="Q10" s="112"/>
      <c r="R10" s="112"/>
      <c r="S10" s="112"/>
      <c r="T10" s="112"/>
      <c r="U10" s="112"/>
      <c r="V10" s="112"/>
      <c r="W10" s="112"/>
      <c r="X10" s="112"/>
    </row>
    <row r="11" spans="1:24" x14ac:dyDescent="0.45">
      <c r="B11" t="s">
        <v>172</v>
      </c>
      <c r="C11" s="15" t="s">
        <v>179</v>
      </c>
      <c r="D11" s="56">
        <v>50000</v>
      </c>
      <c r="E11" s="56">
        <f>D11</f>
        <v>50000</v>
      </c>
      <c r="F11" s="112"/>
      <c r="G11" s="112"/>
      <c r="H11" s="112"/>
      <c r="I11" s="112"/>
      <c r="J11" s="112"/>
      <c r="K11" s="112"/>
      <c r="L11" s="112"/>
      <c r="M11" s="112"/>
      <c r="N11" s="112"/>
      <c r="O11" s="112"/>
      <c r="P11" s="112"/>
      <c r="Q11" s="112"/>
      <c r="R11" s="112"/>
      <c r="S11" s="112"/>
      <c r="T11" s="112"/>
      <c r="U11" s="112"/>
      <c r="V11" s="112"/>
      <c r="W11" s="112"/>
      <c r="X11" s="112"/>
    </row>
    <row r="12" spans="1:24" x14ac:dyDescent="0.45">
      <c r="B12" t="s">
        <v>172</v>
      </c>
      <c r="C12" s="15" t="s">
        <v>180</v>
      </c>
      <c r="D12" s="56"/>
      <c r="E12" s="112"/>
      <c r="F12" s="112"/>
      <c r="G12" s="112"/>
      <c r="H12" s="112"/>
      <c r="I12" s="112"/>
      <c r="J12" s="112"/>
      <c r="K12" s="112"/>
      <c r="L12" s="112"/>
      <c r="M12" s="112"/>
      <c r="N12" s="112"/>
      <c r="O12" s="112"/>
      <c r="P12" s="112"/>
      <c r="Q12" s="112"/>
      <c r="R12" s="112"/>
      <c r="S12" s="112"/>
      <c r="T12" s="112"/>
      <c r="U12" s="112"/>
      <c r="V12" s="112"/>
      <c r="W12" s="112"/>
      <c r="X12" s="112"/>
    </row>
    <row r="13" spans="1:24" x14ac:dyDescent="0.45">
      <c r="B13" t="s">
        <v>172</v>
      </c>
      <c r="C13" s="15" t="s">
        <v>180</v>
      </c>
      <c r="D13" s="56"/>
      <c r="E13" s="112"/>
      <c r="F13" s="112"/>
      <c r="G13" s="112"/>
      <c r="H13" s="112"/>
      <c r="I13" s="112"/>
      <c r="J13" s="112"/>
      <c r="K13" s="112"/>
      <c r="L13" s="112"/>
      <c r="M13" s="112"/>
      <c r="N13" s="112"/>
      <c r="O13" s="112"/>
      <c r="P13" s="112"/>
      <c r="Q13" s="112"/>
      <c r="R13" s="112"/>
      <c r="S13" s="112"/>
      <c r="T13" s="112"/>
      <c r="U13" s="112"/>
      <c r="V13" s="112"/>
      <c r="W13" s="112"/>
      <c r="X13" s="112"/>
    </row>
    <row r="14" spans="1:24" x14ac:dyDescent="0.45">
      <c r="B14" t="s">
        <v>172</v>
      </c>
      <c r="C14" s="15" t="s">
        <v>180</v>
      </c>
      <c r="D14" s="56"/>
      <c r="E14" s="112"/>
      <c r="F14" s="112"/>
      <c r="G14" s="112"/>
      <c r="H14" s="112"/>
      <c r="I14" s="112"/>
      <c r="J14" s="112"/>
      <c r="K14" s="112"/>
      <c r="L14" s="112"/>
      <c r="M14" s="112"/>
      <c r="N14" s="112"/>
      <c r="O14" s="112"/>
      <c r="P14" s="112"/>
      <c r="Q14" s="112"/>
      <c r="R14" s="112"/>
      <c r="S14" s="112"/>
      <c r="T14" s="112"/>
      <c r="U14" s="112"/>
      <c r="V14" s="112"/>
      <c r="W14" s="112"/>
      <c r="X14" s="112"/>
    </row>
    <row r="15" spans="1:24" x14ac:dyDescent="0.45">
      <c r="B15" t="s">
        <v>172</v>
      </c>
      <c r="C15" s="15" t="s">
        <v>180</v>
      </c>
      <c r="D15" s="56"/>
      <c r="E15" s="112"/>
      <c r="F15" s="112"/>
      <c r="G15" s="112"/>
      <c r="H15" s="112"/>
      <c r="I15" s="112"/>
      <c r="J15" s="112"/>
      <c r="K15" s="112"/>
      <c r="L15" s="112"/>
      <c r="M15" s="112"/>
      <c r="N15" s="112"/>
      <c r="O15" s="112"/>
      <c r="P15" s="112"/>
      <c r="Q15" s="112"/>
      <c r="R15" s="112"/>
      <c r="S15" s="112"/>
      <c r="T15" s="112"/>
      <c r="U15" s="112"/>
      <c r="V15" s="112"/>
      <c r="W15" s="112"/>
      <c r="X15" s="112"/>
    </row>
    <row r="16" spans="1:24" x14ac:dyDescent="0.45">
      <c r="B16" t="s">
        <v>172</v>
      </c>
      <c r="C16" s="15" t="s">
        <v>180</v>
      </c>
      <c r="D16" s="56"/>
      <c r="E16" s="112"/>
      <c r="F16" s="112"/>
      <c r="G16" s="112"/>
      <c r="H16" s="112"/>
      <c r="I16" s="112"/>
      <c r="J16" s="112"/>
      <c r="K16" s="112"/>
      <c r="L16" s="112"/>
      <c r="M16" s="112"/>
      <c r="N16" s="112"/>
      <c r="O16" s="112"/>
      <c r="P16" s="112"/>
      <c r="Q16" s="112"/>
      <c r="R16" s="112"/>
      <c r="S16" s="112"/>
      <c r="T16" s="112"/>
      <c r="U16" s="112"/>
      <c r="V16" s="112"/>
      <c r="W16" s="112"/>
      <c r="X16" s="112"/>
    </row>
    <row r="17" spans="1:27" x14ac:dyDescent="0.45">
      <c r="B17" t="s">
        <v>172</v>
      </c>
      <c r="C17" s="15" t="s">
        <v>180</v>
      </c>
      <c r="D17" s="56"/>
      <c r="E17" s="112"/>
      <c r="F17" s="112"/>
      <c r="G17" s="112"/>
      <c r="H17" s="112"/>
      <c r="I17" s="112"/>
      <c r="J17" s="112"/>
      <c r="K17" s="112"/>
      <c r="L17" s="112"/>
      <c r="M17" s="112"/>
      <c r="N17" s="112"/>
      <c r="O17" s="112"/>
      <c r="P17" s="112"/>
      <c r="Q17" s="112"/>
      <c r="R17" s="112"/>
      <c r="S17" s="112"/>
      <c r="T17" s="112"/>
      <c r="U17" s="112"/>
      <c r="V17" s="112"/>
      <c r="W17" s="112"/>
      <c r="X17" s="112"/>
    </row>
    <row r="18" spans="1:27" x14ac:dyDescent="0.45">
      <c r="A18" s="42"/>
      <c r="B18" s="42" t="s">
        <v>172</v>
      </c>
      <c r="C18" s="43" t="s">
        <v>181</v>
      </c>
      <c r="D18" s="56"/>
      <c r="E18" s="112"/>
      <c r="F18" s="112"/>
      <c r="G18" s="112"/>
      <c r="H18" s="112"/>
      <c r="I18" s="112"/>
      <c r="J18" s="112"/>
      <c r="K18" s="112"/>
      <c r="L18" s="112"/>
      <c r="M18" s="112"/>
      <c r="N18" s="112"/>
      <c r="O18" s="112"/>
      <c r="P18" s="112"/>
      <c r="Q18" s="112"/>
      <c r="R18" s="112"/>
      <c r="S18" s="112"/>
      <c r="T18" s="112"/>
      <c r="U18" s="112"/>
      <c r="V18" s="112"/>
      <c r="W18" s="112"/>
      <c r="X18" s="112"/>
    </row>
    <row r="19" spans="1:27" s="7" customFormat="1" x14ac:dyDescent="0.45">
      <c r="A19" s="45"/>
      <c r="B19" s="45" t="s">
        <v>172</v>
      </c>
      <c r="C19" s="47" t="s">
        <v>182</v>
      </c>
      <c r="D19" s="88"/>
      <c r="E19" s="86">
        <f>SUM(E5:E18)</f>
        <v>1950000</v>
      </c>
      <c r="F19" s="86">
        <f t="shared" ref="F19:X19" si="0">SUM(F5:F18)</f>
        <v>1650000</v>
      </c>
      <c r="G19" s="86">
        <f t="shared" si="0"/>
        <v>0</v>
      </c>
      <c r="H19" s="86">
        <f t="shared" si="0"/>
        <v>0</v>
      </c>
      <c r="I19" s="86">
        <f t="shared" si="0"/>
        <v>0</v>
      </c>
      <c r="J19" s="86">
        <f t="shared" si="0"/>
        <v>0</v>
      </c>
      <c r="K19" s="86">
        <f t="shared" si="0"/>
        <v>0</v>
      </c>
      <c r="L19" s="86">
        <f t="shared" si="0"/>
        <v>0</v>
      </c>
      <c r="M19" s="86">
        <f t="shared" si="0"/>
        <v>0</v>
      </c>
      <c r="N19" s="86">
        <f t="shared" si="0"/>
        <v>0</v>
      </c>
      <c r="O19" s="86">
        <f t="shared" si="0"/>
        <v>0</v>
      </c>
      <c r="P19" s="86">
        <f t="shared" si="0"/>
        <v>0</v>
      </c>
      <c r="Q19" s="86">
        <f t="shared" si="0"/>
        <v>0</v>
      </c>
      <c r="R19" s="86">
        <f t="shared" si="0"/>
        <v>0</v>
      </c>
      <c r="S19" s="86">
        <f t="shared" si="0"/>
        <v>0</v>
      </c>
      <c r="T19" s="86">
        <f t="shared" si="0"/>
        <v>0</v>
      </c>
      <c r="U19" s="86">
        <f t="shared" si="0"/>
        <v>0</v>
      </c>
      <c r="V19" s="86">
        <f t="shared" si="0"/>
        <v>0</v>
      </c>
      <c r="W19" s="86">
        <f t="shared" si="0"/>
        <v>0</v>
      </c>
      <c r="X19" s="86">
        <f t="shared" si="0"/>
        <v>0</v>
      </c>
      <c r="Y19"/>
      <c r="Z19"/>
      <c r="AA19"/>
    </row>
    <row r="24" spans="1:27" x14ac:dyDescent="0.45">
      <c r="A24" s="18" t="s">
        <v>90</v>
      </c>
    </row>
    <row r="25" spans="1:27" x14ac:dyDescent="0.45">
      <c r="A25" s="245"/>
      <c r="B25" s="245"/>
      <c r="C25" s="245"/>
      <c r="D25" s="245"/>
      <c r="E25" s="245"/>
      <c r="F25" s="245"/>
      <c r="G25" s="245"/>
      <c r="H25" s="245"/>
      <c r="I25" s="245"/>
    </row>
  </sheetData>
  <mergeCells count="2">
    <mergeCell ref="A1:X1"/>
    <mergeCell ref="A25:I25"/>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74D54C-F2EC-4670-9862-6EF1972599AB}">
  <dimension ref="A1:X47"/>
  <sheetViews>
    <sheetView topLeftCell="E17" workbookViewId="0">
      <selection sqref="A1:X1"/>
    </sheetView>
  </sheetViews>
  <sheetFormatPr defaultRowHeight="14.25" x14ac:dyDescent="0.45"/>
  <cols>
    <col min="1" max="1" width="15" customWidth="1"/>
    <col min="2" max="2" width="12" customWidth="1"/>
    <col min="3" max="3" width="35" customWidth="1"/>
    <col min="4" max="4" width="20" customWidth="1"/>
    <col min="5" max="24" width="10" customWidth="1"/>
  </cols>
  <sheetData>
    <row r="1" spans="1:24" x14ac:dyDescent="0.45">
      <c r="A1" s="233" t="s">
        <v>183</v>
      </c>
      <c r="B1" s="234"/>
      <c r="C1" s="234"/>
      <c r="D1" s="234"/>
      <c r="E1" s="234"/>
      <c r="F1" s="234"/>
      <c r="G1" s="234"/>
      <c r="H1" s="234"/>
      <c r="I1" s="234"/>
      <c r="J1" s="234"/>
      <c r="K1" s="234"/>
      <c r="L1" s="234"/>
      <c r="M1" s="234"/>
      <c r="N1" s="234"/>
      <c r="O1" s="234"/>
      <c r="P1" s="234"/>
      <c r="Q1" s="234"/>
      <c r="R1" s="234"/>
      <c r="S1" s="234"/>
      <c r="T1" s="234"/>
      <c r="U1" s="234"/>
      <c r="V1" s="234"/>
      <c r="W1" s="234"/>
      <c r="X1" s="235"/>
    </row>
    <row r="4" spans="1:24" x14ac:dyDescent="0.45">
      <c r="A4" s="1" t="s">
        <v>87</v>
      </c>
      <c r="B4" s="1" t="s">
        <v>88</v>
      </c>
      <c r="C4" s="1" t="s">
        <v>184</v>
      </c>
      <c r="D4" s="1" t="s">
        <v>90</v>
      </c>
      <c r="E4" s="64" t="s">
        <v>91</v>
      </c>
      <c r="F4" s="64" t="s">
        <v>92</v>
      </c>
      <c r="G4" s="64" t="s">
        <v>93</v>
      </c>
      <c r="H4" s="64" t="s">
        <v>94</v>
      </c>
      <c r="I4" s="64" t="s">
        <v>95</v>
      </c>
      <c r="J4" s="64" t="s">
        <v>96</v>
      </c>
      <c r="K4" s="64" t="s">
        <v>97</v>
      </c>
      <c r="L4" s="64" t="s">
        <v>98</v>
      </c>
      <c r="M4" s="64" t="s">
        <v>99</v>
      </c>
      <c r="N4" s="64" t="s">
        <v>100</v>
      </c>
      <c r="O4" s="64" t="s">
        <v>101</v>
      </c>
      <c r="P4" s="64" t="s">
        <v>102</v>
      </c>
      <c r="Q4" s="64" t="s">
        <v>103</v>
      </c>
      <c r="R4" s="64" t="s">
        <v>104</v>
      </c>
      <c r="S4" s="64" t="s">
        <v>105</v>
      </c>
      <c r="T4" s="64" t="s">
        <v>106</v>
      </c>
      <c r="U4" s="64" t="s">
        <v>107</v>
      </c>
      <c r="V4" s="64" t="s">
        <v>108</v>
      </c>
      <c r="W4" s="64" t="s">
        <v>109</v>
      </c>
      <c r="X4" s="64" t="s">
        <v>110</v>
      </c>
    </row>
    <row r="5" spans="1:24" x14ac:dyDescent="0.45">
      <c r="B5" t="s">
        <v>185</v>
      </c>
      <c r="C5" s="13" t="s">
        <v>186</v>
      </c>
      <c r="E5" s="84">
        <v>1</v>
      </c>
      <c r="F5" s="84">
        <v>1</v>
      </c>
      <c r="G5" s="84">
        <v>1</v>
      </c>
      <c r="H5" s="84">
        <v>1</v>
      </c>
      <c r="I5" s="84">
        <v>1</v>
      </c>
      <c r="J5" s="84">
        <v>1</v>
      </c>
      <c r="K5" s="84">
        <v>1</v>
      </c>
      <c r="L5" s="84">
        <v>1</v>
      </c>
      <c r="M5" s="84">
        <v>1</v>
      </c>
      <c r="N5" s="84">
        <v>1</v>
      </c>
      <c r="O5" s="84">
        <v>1</v>
      </c>
      <c r="P5" s="84">
        <v>1</v>
      </c>
      <c r="Q5" s="84">
        <v>1</v>
      </c>
      <c r="R5" s="84">
        <v>1</v>
      </c>
      <c r="S5" s="84">
        <v>1</v>
      </c>
      <c r="T5" s="84">
        <v>1</v>
      </c>
      <c r="U5" s="84">
        <v>1</v>
      </c>
      <c r="V5" s="84">
        <v>1</v>
      </c>
      <c r="W5" s="84">
        <v>1</v>
      </c>
      <c r="X5" s="84">
        <v>1</v>
      </c>
    </row>
    <row r="6" spans="1:24" x14ac:dyDescent="0.45">
      <c r="B6" t="s">
        <v>185</v>
      </c>
      <c r="C6" s="13" t="s">
        <v>187</v>
      </c>
      <c r="E6" s="84">
        <v>1</v>
      </c>
      <c r="F6" s="84">
        <v>1</v>
      </c>
      <c r="G6" s="84">
        <v>1</v>
      </c>
      <c r="H6" s="84">
        <v>1</v>
      </c>
      <c r="I6" s="84">
        <v>1</v>
      </c>
      <c r="J6" s="84">
        <v>1</v>
      </c>
      <c r="K6" s="84">
        <v>1</v>
      </c>
      <c r="L6" s="84">
        <v>1</v>
      </c>
      <c r="M6" s="84">
        <v>1</v>
      </c>
      <c r="N6" s="84">
        <v>1</v>
      </c>
      <c r="O6" s="84">
        <v>1</v>
      </c>
      <c r="P6" s="84">
        <v>1</v>
      </c>
      <c r="Q6" s="84">
        <v>1</v>
      </c>
      <c r="R6" s="84">
        <v>1</v>
      </c>
      <c r="S6" s="84">
        <v>1</v>
      </c>
      <c r="T6" s="84">
        <v>1</v>
      </c>
      <c r="U6" s="84">
        <v>1</v>
      </c>
      <c r="V6" s="84">
        <v>1</v>
      </c>
      <c r="W6" s="84">
        <v>1</v>
      </c>
      <c r="X6" s="84">
        <v>1</v>
      </c>
    </row>
    <row r="7" spans="1:24" x14ac:dyDescent="0.45">
      <c r="B7" t="s">
        <v>185</v>
      </c>
      <c r="C7" s="13" t="s">
        <v>188</v>
      </c>
      <c r="E7" s="84">
        <v>1</v>
      </c>
      <c r="F7" s="84">
        <v>1</v>
      </c>
      <c r="G7" s="84">
        <v>1</v>
      </c>
      <c r="H7" s="84">
        <v>1</v>
      </c>
      <c r="I7" s="84">
        <v>1</v>
      </c>
      <c r="J7" s="84">
        <v>1</v>
      </c>
      <c r="K7" s="84">
        <v>1</v>
      </c>
      <c r="L7" s="84">
        <v>1</v>
      </c>
      <c r="M7" s="84">
        <v>1</v>
      </c>
      <c r="N7" s="84">
        <v>1</v>
      </c>
      <c r="O7" s="84">
        <v>1</v>
      </c>
      <c r="P7" s="84">
        <v>1</v>
      </c>
      <c r="Q7" s="84">
        <v>1</v>
      </c>
      <c r="R7" s="84">
        <v>1</v>
      </c>
      <c r="S7" s="84">
        <v>1</v>
      </c>
      <c r="T7" s="84">
        <v>1</v>
      </c>
      <c r="U7" s="84">
        <v>1</v>
      </c>
      <c r="V7" s="84">
        <v>1</v>
      </c>
      <c r="W7" s="84">
        <v>1</v>
      </c>
      <c r="X7" s="84">
        <v>1</v>
      </c>
    </row>
    <row r="8" spans="1:24" x14ac:dyDescent="0.45">
      <c r="B8" t="s">
        <v>185</v>
      </c>
      <c r="C8" s="13" t="s">
        <v>188</v>
      </c>
      <c r="E8" s="84">
        <v>1</v>
      </c>
      <c r="F8" s="84">
        <v>1</v>
      </c>
      <c r="G8" s="84">
        <v>1</v>
      </c>
      <c r="H8" s="84">
        <v>1</v>
      </c>
      <c r="I8" s="84">
        <v>1</v>
      </c>
      <c r="J8" s="84">
        <v>1</v>
      </c>
      <c r="K8" s="84">
        <v>1</v>
      </c>
      <c r="L8" s="84">
        <v>1</v>
      </c>
      <c r="M8" s="84">
        <v>1</v>
      </c>
      <c r="N8" s="84">
        <v>1</v>
      </c>
      <c r="O8" s="84">
        <v>1</v>
      </c>
      <c r="P8" s="84">
        <v>1</v>
      </c>
      <c r="Q8" s="84">
        <v>1</v>
      </c>
      <c r="R8" s="84">
        <v>1</v>
      </c>
      <c r="S8" s="84">
        <v>1</v>
      </c>
      <c r="T8" s="84">
        <v>1</v>
      </c>
      <c r="U8" s="84">
        <v>1</v>
      </c>
      <c r="V8" s="84">
        <v>1</v>
      </c>
      <c r="W8" s="84">
        <v>1</v>
      </c>
      <c r="X8" s="84">
        <v>1</v>
      </c>
    </row>
    <row r="9" spans="1:24" x14ac:dyDescent="0.45">
      <c r="B9" t="s">
        <v>185</v>
      </c>
      <c r="C9" s="13" t="s">
        <v>188</v>
      </c>
      <c r="E9" s="84">
        <v>1</v>
      </c>
      <c r="F9" s="84">
        <v>1</v>
      </c>
      <c r="G9" s="84">
        <v>1</v>
      </c>
      <c r="H9" s="84">
        <v>1</v>
      </c>
      <c r="I9" s="84">
        <v>1</v>
      </c>
      <c r="J9" s="84">
        <v>1</v>
      </c>
      <c r="K9" s="84">
        <v>1</v>
      </c>
      <c r="L9" s="84">
        <v>1</v>
      </c>
      <c r="M9" s="84">
        <v>1</v>
      </c>
      <c r="N9" s="84">
        <v>1</v>
      </c>
      <c r="O9" s="84">
        <v>1</v>
      </c>
      <c r="P9" s="84">
        <v>1</v>
      </c>
      <c r="Q9" s="84">
        <v>1</v>
      </c>
      <c r="R9" s="84">
        <v>1</v>
      </c>
      <c r="S9" s="84">
        <v>1</v>
      </c>
      <c r="T9" s="84">
        <v>1</v>
      </c>
      <c r="U9" s="84">
        <v>1</v>
      </c>
      <c r="V9" s="84">
        <v>1</v>
      </c>
      <c r="W9" s="84">
        <v>1</v>
      </c>
      <c r="X9" s="84">
        <v>1</v>
      </c>
    </row>
    <row r="10" spans="1:24" x14ac:dyDescent="0.45">
      <c r="B10" t="s">
        <v>185</v>
      </c>
      <c r="C10" s="13" t="s">
        <v>188</v>
      </c>
      <c r="E10" s="84">
        <v>1</v>
      </c>
      <c r="F10" s="84">
        <v>1</v>
      </c>
      <c r="G10" s="84">
        <v>1</v>
      </c>
      <c r="H10" s="84">
        <v>1</v>
      </c>
      <c r="I10" s="84">
        <v>1</v>
      </c>
      <c r="J10" s="84">
        <v>1</v>
      </c>
      <c r="K10" s="84">
        <v>1</v>
      </c>
      <c r="L10" s="84">
        <v>1</v>
      </c>
      <c r="M10" s="84">
        <v>1</v>
      </c>
      <c r="N10" s="84">
        <v>1</v>
      </c>
      <c r="O10" s="84">
        <v>1</v>
      </c>
      <c r="P10" s="84">
        <v>1</v>
      </c>
      <c r="Q10" s="84">
        <v>1</v>
      </c>
      <c r="R10" s="84">
        <v>1</v>
      </c>
      <c r="S10" s="84">
        <v>1</v>
      </c>
      <c r="T10" s="84">
        <v>1</v>
      </c>
      <c r="U10" s="84">
        <v>1</v>
      </c>
      <c r="V10" s="84">
        <v>1</v>
      </c>
      <c r="W10" s="84">
        <v>1</v>
      </c>
      <c r="X10" s="84">
        <v>1</v>
      </c>
    </row>
    <row r="11" spans="1:24" x14ac:dyDescent="0.45">
      <c r="B11" t="s">
        <v>185</v>
      </c>
      <c r="C11" s="13" t="s">
        <v>188</v>
      </c>
      <c r="E11" s="84">
        <v>1</v>
      </c>
      <c r="F11" s="84">
        <v>1</v>
      </c>
      <c r="G11" s="84">
        <v>1</v>
      </c>
      <c r="H11" s="84">
        <v>1</v>
      </c>
      <c r="I11" s="84">
        <v>1</v>
      </c>
      <c r="J11" s="84">
        <v>1</v>
      </c>
      <c r="K11" s="84">
        <v>1</v>
      </c>
      <c r="L11" s="84">
        <v>1</v>
      </c>
      <c r="M11" s="84">
        <v>1</v>
      </c>
      <c r="N11" s="84">
        <v>1</v>
      </c>
      <c r="O11" s="84">
        <v>1</v>
      </c>
      <c r="P11" s="84">
        <v>1</v>
      </c>
      <c r="Q11" s="84">
        <v>1</v>
      </c>
      <c r="R11" s="84">
        <v>1</v>
      </c>
      <c r="S11" s="84">
        <v>1</v>
      </c>
      <c r="T11" s="84">
        <v>1</v>
      </c>
      <c r="U11" s="84">
        <v>1</v>
      </c>
      <c r="V11" s="84">
        <v>1</v>
      </c>
      <c r="W11" s="84">
        <v>1</v>
      </c>
      <c r="X11" s="84">
        <v>1</v>
      </c>
    </row>
    <row r="12" spans="1:24" x14ac:dyDescent="0.45">
      <c r="B12" t="s">
        <v>185</v>
      </c>
      <c r="C12" s="13" t="s">
        <v>188</v>
      </c>
      <c r="E12" s="84">
        <v>1</v>
      </c>
      <c r="F12" s="84">
        <v>1</v>
      </c>
      <c r="G12" s="84">
        <v>1</v>
      </c>
      <c r="H12" s="84">
        <v>1</v>
      </c>
      <c r="I12" s="84">
        <v>1</v>
      </c>
      <c r="J12" s="84">
        <v>1</v>
      </c>
      <c r="K12" s="84">
        <v>1</v>
      </c>
      <c r="L12" s="84">
        <v>1</v>
      </c>
      <c r="M12" s="84">
        <v>1</v>
      </c>
      <c r="N12" s="84">
        <v>1</v>
      </c>
      <c r="O12" s="84">
        <v>1</v>
      </c>
      <c r="P12" s="84">
        <v>1</v>
      </c>
      <c r="Q12" s="84">
        <v>1</v>
      </c>
      <c r="R12" s="84">
        <v>1</v>
      </c>
      <c r="S12" s="84">
        <v>1</v>
      </c>
      <c r="T12" s="84">
        <v>1</v>
      </c>
      <c r="U12" s="84">
        <v>1</v>
      </c>
      <c r="V12" s="84">
        <v>1</v>
      </c>
      <c r="W12" s="84">
        <v>1</v>
      </c>
      <c r="X12" s="84">
        <v>1</v>
      </c>
    </row>
    <row r="13" spans="1:24" x14ac:dyDescent="0.45">
      <c r="B13" t="s">
        <v>185</v>
      </c>
      <c r="C13" s="13" t="s">
        <v>188</v>
      </c>
      <c r="E13" s="84">
        <v>1</v>
      </c>
      <c r="F13" s="84">
        <v>1</v>
      </c>
      <c r="G13" s="84">
        <v>1</v>
      </c>
      <c r="H13" s="84">
        <v>1</v>
      </c>
      <c r="I13" s="84">
        <v>1</v>
      </c>
      <c r="J13" s="84">
        <v>1</v>
      </c>
      <c r="K13" s="84">
        <v>1</v>
      </c>
      <c r="L13" s="84">
        <v>1</v>
      </c>
      <c r="M13" s="84">
        <v>1</v>
      </c>
      <c r="N13" s="84">
        <v>1</v>
      </c>
      <c r="O13" s="84">
        <v>1</v>
      </c>
      <c r="P13" s="84">
        <v>1</v>
      </c>
      <c r="Q13" s="84">
        <v>1</v>
      </c>
      <c r="R13" s="84">
        <v>1</v>
      </c>
      <c r="S13" s="84">
        <v>1</v>
      </c>
      <c r="T13" s="84">
        <v>1</v>
      </c>
      <c r="U13" s="84">
        <v>1</v>
      </c>
      <c r="V13" s="84">
        <v>1</v>
      </c>
      <c r="W13" s="84">
        <v>1</v>
      </c>
      <c r="X13" s="84">
        <v>1</v>
      </c>
    </row>
    <row r="14" spans="1:24" x14ac:dyDescent="0.45">
      <c r="B14" t="s">
        <v>185</v>
      </c>
      <c r="C14" s="13" t="s">
        <v>188</v>
      </c>
      <c r="E14" s="84">
        <v>1</v>
      </c>
      <c r="F14" s="84">
        <v>1</v>
      </c>
      <c r="G14" s="84">
        <v>1</v>
      </c>
      <c r="H14" s="84">
        <v>1</v>
      </c>
      <c r="I14" s="84">
        <v>1</v>
      </c>
      <c r="J14" s="84">
        <v>1</v>
      </c>
      <c r="K14" s="84">
        <v>1</v>
      </c>
      <c r="L14" s="84">
        <v>1</v>
      </c>
      <c r="M14" s="84">
        <v>1</v>
      </c>
      <c r="N14" s="84">
        <v>1</v>
      </c>
      <c r="O14" s="84">
        <v>1</v>
      </c>
      <c r="P14" s="84">
        <v>1</v>
      </c>
      <c r="Q14" s="84">
        <v>1</v>
      </c>
      <c r="R14" s="84">
        <v>1</v>
      </c>
      <c r="S14" s="84">
        <v>1</v>
      </c>
      <c r="T14" s="84">
        <v>1</v>
      </c>
      <c r="U14" s="84">
        <v>1</v>
      </c>
      <c r="V14" s="84">
        <v>1</v>
      </c>
      <c r="W14" s="84">
        <v>1</v>
      </c>
      <c r="X14" s="84">
        <v>1</v>
      </c>
    </row>
    <row r="15" spans="1:24" x14ac:dyDescent="0.45">
      <c r="B15" t="s">
        <v>185</v>
      </c>
      <c r="C15" s="13" t="s">
        <v>188</v>
      </c>
      <c r="E15" s="84">
        <v>1</v>
      </c>
      <c r="F15" s="84">
        <v>1</v>
      </c>
      <c r="G15" s="84">
        <v>1</v>
      </c>
      <c r="H15" s="84">
        <v>1</v>
      </c>
      <c r="I15" s="84">
        <v>1</v>
      </c>
      <c r="J15" s="84">
        <v>1</v>
      </c>
      <c r="K15" s="84">
        <v>1</v>
      </c>
      <c r="L15" s="84">
        <v>1</v>
      </c>
      <c r="M15" s="84">
        <v>1</v>
      </c>
      <c r="N15" s="84">
        <v>1</v>
      </c>
      <c r="O15" s="84">
        <v>1</v>
      </c>
      <c r="P15" s="84">
        <v>1</v>
      </c>
      <c r="Q15" s="84">
        <v>1</v>
      </c>
      <c r="R15" s="84">
        <v>1</v>
      </c>
      <c r="S15" s="84">
        <v>1</v>
      </c>
      <c r="T15" s="84">
        <v>1</v>
      </c>
      <c r="U15" s="84">
        <v>1</v>
      </c>
      <c r="V15" s="84">
        <v>1</v>
      </c>
      <c r="W15" s="84">
        <v>1</v>
      </c>
      <c r="X15" s="84">
        <v>1</v>
      </c>
    </row>
    <row r="16" spans="1:24" x14ac:dyDescent="0.45">
      <c r="B16" t="s">
        <v>185</v>
      </c>
      <c r="C16" s="13" t="s">
        <v>188</v>
      </c>
      <c r="E16" s="84">
        <v>1</v>
      </c>
      <c r="F16" s="84">
        <v>1</v>
      </c>
      <c r="G16" s="84">
        <v>1</v>
      </c>
      <c r="H16" s="84">
        <v>1</v>
      </c>
      <c r="I16" s="84">
        <v>1</v>
      </c>
      <c r="J16" s="84">
        <v>1</v>
      </c>
      <c r="K16" s="84">
        <v>1</v>
      </c>
      <c r="L16" s="84">
        <v>1</v>
      </c>
      <c r="M16" s="84">
        <v>1</v>
      </c>
      <c r="N16" s="84">
        <v>1</v>
      </c>
      <c r="O16" s="84">
        <v>1</v>
      </c>
      <c r="P16" s="84">
        <v>1</v>
      </c>
      <c r="Q16" s="84">
        <v>1</v>
      </c>
      <c r="R16" s="84">
        <v>1</v>
      </c>
      <c r="S16" s="84">
        <v>1</v>
      </c>
      <c r="T16" s="84">
        <v>1</v>
      </c>
      <c r="U16" s="84">
        <v>1</v>
      </c>
      <c r="V16" s="84">
        <v>1</v>
      </c>
      <c r="W16" s="84">
        <v>1</v>
      </c>
      <c r="X16" s="84">
        <v>1</v>
      </c>
    </row>
    <row r="17" spans="1:24" x14ac:dyDescent="0.45">
      <c r="B17" t="s">
        <v>185</v>
      </c>
      <c r="C17" s="13" t="s">
        <v>188</v>
      </c>
      <c r="E17" s="84">
        <v>1</v>
      </c>
      <c r="F17" s="84">
        <v>1</v>
      </c>
      <c r="G17" s="84">
        <v>1</v>
      </c>
      <c r="H17" s="84">
        <v>1</v>
      </c>
      <c r="I17" s="84">
        <v>1</v>
      </c>
      <c r="J17" s="84">
        <v>1</v>
      </c>
      <c r="K17" s="84">
        <v>1</v>
      </c>
      <c r="L17" s="84">
        <v>1</v>
      </c>
      <c r="M17" s="84">
        <v>1</v>
      </c>
      <c r="N17" s="84">
        <v>1</v>
      </c>
      <c r="O17" s="84">
        <v>1</v>
      </c>
      <c r="P17" s="84">
        <v>1</v>
      </c>
      <c r="Q17" s="84">
        <v>1</v>
      </c>
      <c r="R17" s="84">
        <v>1</v>
      </c>
      <c r="S17" s="84">
        <v>1</v>
      </c>
      <c r="T17" s="84">
        <v>1</v>
      </c>
      <c r="U17" s="84">
        <v>1</v>
      </c>
      <c r="V17" s="84">
        <v>1</v>
      </c>
      <c r="W17" s="84">
        <v>1</v>
      </c>
      <c r="X17" s="84">
        <v>1</v>
      </c>
    </row>
    <row r="18" spans="1:24" x14ac:dyDescent="0.45">
      <c r="B18" t="s">
        <v>185</v>
      </c>
      <c r="C18" s="13" t="s">
        <v>188</v>
      </c>
      <c r="E18" s="84">
        <v>1</v>
      </c>
      <c r="F18" s="84">
        <v>1</v>
      </c>
      <c r="G18" s="84">
        <v>1</v>
      </c>
      <c r="H18" s="84">
        <v>1</v>
      </c>
      <c r="I18" s="84">
        <v>1</v>
      </c>
      <c r="J18" s="84">
        <v>1</v>
      </c>
      <c r="K18" s="84">
        <v>1</v>
      </c>
      <c r="L18" s="84">
        <v>1</v>
      </c>
      <c r="M18" s="84">
        <v>1</v>
      </c>
      <c r="N18" s="84">
        <v>1</v>
      </c>
      <c r="O18" s="84">
        <v>1</v>
      </c>
      <c r="P18" s="84">
        <v>1</v>
      </c>
      <c r="Q18" s="84">
        <v>1</v>
      </c>
      <c r="R18" s="84">
        <v>1</v>
      </c>
      <c r="S18" s="84">
        <v>1</v>
      </c>
      <c r="T18" s="84">
        <v>1</v>
      </c>
      <c r="U18" s="84">
        <v>1</v>
      </c>
      <c r="V18" s="84">
        <v>1</v>
      </c>
      <c r="W18" s="84">
        <v>1</v>
      </c>
      <c r="X18" s="84">
        <v>1</v>
      </c>
    </row>
    <row r="19" spans="1:24" x14ac:dyDescent="0.45">
      <c r="B19" t="s">
        <v>185</v>
      </c>
      <c r="C19" s="13" t="s">
        <v>188</v>
      </c>
      <c r="E19" s="84">
        <v>1</v>
      </c>
      <c r="F19" s="84">
        <v>1</v>
      </c>
      <c r="G19" s="84">
        <v>1</v>
      </c>
      <c r="H19" s="84">
        <v>1</v>
      </c>
      <c r="I19" s="84">
        <v>1</v>
      </c>
      <c r="J19" s="84">
        <v>1</v>
      </c>
      <c r="K19" s="84">
        <v>1</v>
      </c>
      <c r="L19" s="84">
        <v>1</v>
      </c>
      <c r="M19" s="84">
        <v>1</v>
      </c>
      <c r="N19" s="84">
        <v>1</v>
      </c>
      <c r="O19" s="84">
        <v>1</v>
      </c>
      <c r="P19" s="84">
        <v>1</v>
      </c>
      <c r="Q19" s="84">
        <v>1</v>
      </c>
      <c r="R19" s="84">
        <v>1</v>
      </c>
      <c r="S19" s="84">
        <v>1</v>
      </c>
      <c r="T19" s="84">
        <v>1</v>
      </c>
      <c r="U19" s="84">
        <v>1</v>
      </c>
      <c r="V19" s="84">
        <v>1</v>
      </c>
      <c r="W19" s="84">
        <v>1</v>
      </c>
      <c r="X19" s="84">
        <v>1</v>
      </c>
    </row>
    <row r="20" spans="1:24" x14ac:dyDescent="0.45">
      <c r="B20" t="s">
        <v>185</v>
      </c>
      <c r="C20" s="13" t="s">
        <v>188</v>
      </c>
      <c r="E20" s="84">
        <v>1</v>
      </c>
      <c r="F20" s="84">
        <v>1</v>
      </c>
      <c r="G20" s="84">
        <v>1</v>
      </c>
      <c r="H20" s="84">
        <v>1</v>
      </c>
      <c r="I20" s="84">
        <v>1</v>
      </c>
      <c r="J20" s="84">
        <v>1</v>
      </c>
      <c r="K20" s="84">
        <v>1</v>
      </c>
      <c r="L20" s="84">
        <v>1</v>
      </c>
      <c r="M20" s="84">
        <v>1</v>
      </c>
      <c r="N20" s="84">
        <v>1</v>
      </c>
      <c r="O20" s="84">
        <v>1</v>
      </c>
      <c r="P20" s="84">
        <v>1</v>
      </c>
      <c r="Q20" s="84">
        <v>1</v>
      </c>
      <c r="R20" s="84">
        <v>1</v>
      </c>
      <c r="S20" s="84">
        <v>1</v>
      </c>
      <c r="T20" s="84">
        <v>1</v>
      </c>
      <c r="U20" s="84">
        <v>1</v>
      </c>
      <c r="V20" s="84">
        <v>1</v>
      </c>
      <c r="W20" s="84">
        <v>1</v>
      </c>
      <c r="X20" s="84">
        <v>1</v>
      </c>
    </row>
    <row r="21" spans="1:24" x14ac:dyDescent="0.45">
      <c r="B21" t="s">
        <v>185</v>
      </c>
      <c r="C21" s="13" t="s">
        <v>188</v>
      </c>
      <c r="E21" s="84">
        <v>1</v>
      </c>
      <c r="F21" s="84">
        <v>1</v>
      </c>
      <c r="G21" s="84">
        <v>1</v>
      </c>
      <c r="H21" s="84">
        <v>1</v>
      </c>
      <c r="I21" s="84">
        <v>1</v>
      </c>
      <c r="J21" s="84">
        <v>1</v>
      </c>
      <c r="K21" s="84">
        <v>1</v>
      </c>
      <c r="L21" s="84">
        <v>1</v>
      </c>
      <c r="M21" s="84">
        <v>1</v>
      </c>
      <c r="N21" s="84">
        <v>1</v>
      </c>
      <c r="O21" s="84">
        <v>1</v>
      </c>
      <c r="P21" s="84">
        <v>1</v>
      </c>
      <c r="Q21" s="84">
        <v>1</v>
      </c>
      <c r="R21" s="84">
        <v>1</v>
      </c>
      <c r="S21" s="84">
        <v>1</v>
      </c>
      <c r="T21" s="84">
        <v>1</v>
      </c>
      <c r="U21" s="84">
        <v>1</v>
      </c>
      <c r="V21" s="84">
        <v>1</v>
      </c>
      <c r="W21" s="84">
        <v>1</v>
      </c>
      <c r="X21" s="84">
        <v>1</v>
      </c>
    </row>
    <row r="22" spans="1:24" x14ac:dyDescent="0.45">
      <c r="B22" t="s">
        <v>185</v>
      </c>
      <c r="C22" s="13" t="s">
        <v>188</v>
      </c>
      <c r="E22" s="84">
        <v>1</v>
      </c>
      <c r="F22" s="84">
        <v>1</v>
      </c>
      <c r="G22" s="84">
        <v>1</v>
      </c>
      <c r="H22" s="84">
        <v>1</v>
      </c>
      <c r="I22" s="84">
        <v>1</v>
      </c>
      <c r="J22" s="84">
        <v>1</v>
      </c>
      <c r="K22" s="84">
        <v>1</v>
      </c>
      <c r="L22" s="84">
        <v>1</v>
      </c>
      <c r="M22" s="84">
        <v>1</v>
      </c>
      <c r="N22" s="84">
        <v>1</v>
      </c>
      <c r="O22" s="84">
        <v>1</v>
      </c>
      <c r="P22" s="84">
        <v>1</v>
      </c>
      <c r="Q22" s="84">
        <v>1</v>
      </c>
      <c r="R22" s="84">
        <v>1</v>
      </c>
      <c r="S22" s="84">
        <v>1</v>
      </c>
      <c r="T22" s="84">
        <v>1</v>
      </c>
      <c r="U22" s="84">
        <v>1</v>
      </c>
      <c r="V22" s="84">
        <v>1</v>
      </c>
      <c r="W22" s="84">
        <v>1</v>
      </c>
      <c r="X22" s="84">
        <v>1</v>
      </c>
    </row>
    <row r="23" spans="1:24" x14ac:dyDescent="0.45">
      <c r="B23" t="s">
        <v>185</v>
      </c>
      <c r="C23" s="13" t="s">
        <v>188</v>
      </c>
      <c r="E23" s="84">
        <v>1</v>
      </c>
      <c r="F23" s="84">
        <v>1</v>
      </c>
      <c r="G23" s="84">
        <v>1</v>
      </c>
      <c r="H23" s="84">
        <v>1</v>
      </c>
      <c r="I23" s="84">
        <v>1</v>
      </c>
      <c r="J23" s="84">
        <v>1</v>
      </c>
      <c r="K23" s="84">
        <v>1</v>
      </c>
      <c r="L23" s="84">
        <v>1</v>
      </c>
      <c r="M23" s="84">
        <v>1</v>
      </c>
      <c r="N23" s="84">
        <v>1</v>
      </c>
      <c r="O23" s="84">
        <v>1</v>
      </c>
      <c r="P23" s="84">
        <v>1</v>
      </c>
      <c r="Q23" s="84">
        <v>1</v>
      </c>
      <c r="R23" s="84">
        <v>1</v>
      </c>
      <c r="S23" s="84">
        <v>1</v>
      </c>
      <c r="T23" s="84">
        <v>1</v>
      </c>
      <c r="U23" s="84">
        <v>1</v>
      </c>
      <c r="V23" s="84">
        <v>1</v>
      </c>
      <c r="W23" s="84">
        <v>1</v>
      </c>
      <c r="X23" s="84">
        <v>1</v>
      </c>
    </row>
    <row r="24" spans="1:24" s="7" customFormat="1" x14ac:dyDescent="0.45">
      <c r="A24" s="45" t="s">
        <v>189</v>
      </c>
      <c r="B24" s="45"/>
      <c r="C24" s="45"/>
      <c r="D24" s="46"/>
      <c r="E24" s="83">
        <f>SUM(E5:E23)</f>
        <v>19</v>
      </c>
      <c r="F24" s="83">
        <f t="shared" ref="F24:X24" si="0">SUM(F5:F23)</f>
        <v>19</v>
      </c>
      <c r="G24" s="83">
        <f t="shared" si="0"/>
        <v>19</v>
      </c>
      <c r="H24" s="83">
        <f t="shared" si="0"/>
        <v>19</v>
      </c>
      <c r="I24" s="83">
        <f t="shared" si="0"/>
        <v>19</v>
      </c>
      <c r="J24" s="83">
        <f t="shared" si="0"/>
        <v>19</v>
      </c>
      <c r="K24" s="83">
        <f t="shared" si="0"/>
        <v>19</v>
      </c>
      <c r="L24" s="83">
        <f t="shared" si="0"/>
        <v>19</v>
      </c>
      <c r="M24" s="83">
        <f t="shared" si="0"/>
        <v>19</v>
      </c>
      <c r="N24" s="83">
        <f t="shared" si="0"/>
        <v>19</v>
      </c>
      <c r="O24" s="83">
        <f t="shared" si="0"/>
        <v>19</v>
      </c>
      <c r="P24" s="83">
        <f t="shared" si="0"/>
        <v>19</v>
      </c>
      <c r="Q24" s="83">
        <f t="shared" si="0"/>
        <v>19</v>
      </c>
      <c r="R24" s="83">
        <f t="shared" si="0"/>
        <v>19</v>
      </c>
      <c r="S24" s="83">
        <f t="shared" si="0"/>
        <v>19</v>
      </c>
      <c r="T24" s="83">
        <f t="shared" si="0"/>
        <v>19</v>
      </c>
      <c r="U24" s="83">
        <f t="shared" si="0"/>
        <v>19</v>
      </c>
      <c r="V24" s="83">
        <f t="shared" si="0"/>
        <v>19</v>
      </c>
      <c r="W24" s="83">
        <f t="shared" si="0"/>
        <v>19</v>
      </c>
      <c r="X24" s="83">
        <f t="shared" si="0"/>
        <v>19</v>
      </c>
    </row>
    <row r="25" spans="1:24" x14ac:dyDescent="0.45">
      <c r="E25" s="3"/>
      <c r="F25" s="3"/>
      <c r="G25" s="3"/>
      <c r="H25" s="3"/>
      <c r="I25" s="3"/>
      <c r="J25" s="3"/>
      <c r="K25" s="3"/>
      <c r="L25" s="3"/>
      <c r="M25" s="3"/>
      <c r="N25" s="3"/>
      <c r="O25" s="3"/>
      <c r="P25" s="3"/>
      <c r="Q25" s="3"/>
      <c r="R25" s="3"/>
      <c r="S25" s="3"/>
      <c r="T25" s="3"/>
      <c r="U25" s="3"/>
      <c r="V25" s="3"/>
      <c r="W25" s="3"/>
      <c r="X25" s="3"/>
    </row>
    <row r="26" spans="1:24" x14ac:dyDescent="0.45">
      <c r="E26" s="3"/>
      <c r="F26" s="3"/>
      <c r="G26" s="3"/>
      <c r="H26" s="3"/>
      <c r="I26" s="3"/>
      <c r="J26" s="3"/>
      <c r="K26" s="3"/>
      <c r="L26" s="3"/>
      <c r="M26" s="3"/>
      <c r="N26" s="3"/>
      <c r="O26" s="3"/>
      <c r="P26" s="3"/>
      <c r="Q26" s="3"/>
      <c r="R26" s="3"/>
      <c r="S26" s="3"/>
      <c r="T26" s="3"/>
      <c r="U26" s="3"/>
      <c r="V26" s="3"/>
      <c r="W26" s="3"/>
      <c r="X26" s="3"/>
    </row>
    <row r="27" spans="1:24" x14ac:dyDescent="0.45">
      <c r="A27" s="1" t="s">
        <v>87</v>
      </c>
      <c r="B27" s="1" t="s">
        <v>88</v>
      </c>
      <c r="C27" s="1" t="s">
        <v>190</v>
      </c>
      <c r="D27" s="1" t="s">
        <v>191</v>
      </c>
      <c r="E27" s="64" t="s">
        <v>91</v>
      </c>
      <c r="F27" s="64" t="s">
        <v>92</v>
      </c>
      <c r="G27" s="64" t="s">
        <v>93</v>
      </c>
      <c r="H27" s="64" t="s">
        <v>94</v>
      </c>
      <c r="I27" s="64" t="s">
        <v>95</v>
      </c>
      <c r="J27" s="64" t="s">
        <v>96</v>
      </c>
      <c r="K27" s="64" t="s">
        <v>97</v>
      </c>
      <c r="L27" s="64" t="s">
        <v>98</v>
      </c>
      <c r="M27" s="64" t="s">
        <v>99</v>
      </c>
      <c r="N27" s="64" t="s">
        <v>100</v>
      </c>
      <c r="O27" s="64" t="s">
        <v>101</v>
      </c>
      <c r="P27" s="64" t="s">
        <v>102</v>
      </c>
      <c r="Q27" s="64" t="s">
        <v>103</v>
      </c>
      <c r="R27" s="64" t="s">
        <v>104</v>
      </c>
      <c r="S27" s="64" t="s">
        <v>105</v>
      </c>
      <c r="T27" s="64" t="s">
        <v>106</v>
      </c>
      <c r="U27" s="64" t="s">
        <v>107</v>
      </c>
      <c r="V27" s="64" t="s">
        <v>108</v>
      </c>
      <c r="W27" s="64" t="s">
        <v>109</v>
      </c>
      <c r="X27" s="64" t="s">
        <v>110</v>
      </c>
    </row>
    <row r="28" spans="1:24" x14ac:dyDescent="0.45">
      <c r="B28" t="s">
        <v>172</v>
      </c>
      <c r="C28" s="89" t="str">
        <f>C5</f>
        <v>Program Manager</v>
      </c>
      <c r="D28" s="87">
        <f>1500*12</f>
        <v>18000</v>
      </c>
      <c r="E28" s="85">
        <f>E5*$D28</f>
        <v>18000</v>
      </c>
      <c r="F28" s="85">
        <f t="shared" ref="F28:X28" si="1">F5*$D28</f>
        <v>18000</v>
      </c>
      <c r="G28" s="85">
        <f t="shared" si="1"/>
        <v>18000</v>
      </c>
      <c r="H28" s="85">
        <f t="shared" si="1"/>
        <v>18000</v>
      </c>
      <c r="I28" s="85">
        <f t="shared" si="1"/>
        <v>18000</v>
      </c>
      <c r="J28" s="85">
        <f t="shared" si="1"/>
        <v>18000</v>
      </c>
      <c r="K28" s="85">
        <f t="shared" si="1"/>
        <v>18000</v>
      </c>
      <c r="L28" s="85">
        <f t="shared" si="1"/>
        <v>18000</v>
      </c>
      <c r="M28" s="85">
        <f t="shared" si="1"/>
        <v>18000</v>
      </c>
      <c r="N28" s="85">
        <f t="shared" si="1"/>
        <v>18000</v>
      </c>
      <c r="O28" s="85">
        <f t="shared" si="1"/>
        <v>18000</v>
      </c>
      <c r="P28" s="85">
        <f t="shared" si="1"/>
        <v>18000</v>
      </c>
      <c r="Q28" s="85">
        <f t="shared" si="1"/>
        <v>18000</v>
      </c>
      <c r="R28" s="85">
        <f t="shared" si="1"/>
        <v>18000</v>
      </c>
      <c r="S28" s="85">
        <f t="shared" si="1"/>
        <v>18000</v>
      </c>
      <c r="T28" s="85">
        <f t="shared" si="1"/>
        <v>18000</v>
      </c>
      <c r="U28" s="85">
        <f t="shared" si="1"/>
        <v>18000</v>
      </c>
      <c r="V28" s="85">
        <f t="shared" si="1"/>
        <v>18000</v>
      </c>
      <c r="W28" s="85">
        <f t="shared" si="1"/>
        <v>18000</v>
      </c>
      <c r="X28" s="85">
        <f t="shared" si="1"/>
        <v>18000</v>
      </c>
    </row>
    <row r="29" spans="1:24" x14ac:dyDescent="0.45">
      <c r="B29" t="s">
        <v>172</v>
      </c>
      <c r="C29" s="89" t="str">
        <f t="shared" ref="C29:C46" si="2">C6</f>
        <v>Logistic Manager</v>
      </c>
      <c r="D29" s="87">
        <v>15000</v>
      </c>
      <c r="E29" s="85">
        <f t="shared" ref="E29:X29" si="3">E6*$D29</f>
        <v>15000</v>
      </c>
      <c r="F29" s="85">
        <f t="shared" si="3"/>
        <v>15000</v>
      </c>
      <c r="G29" s="85">
        <f t="shared" si="3"/>
        <v>15000</v>
      </c>
      <c r="H29" s="85">
        <f t="shared" si="3"/>
        <v>15000</v>
      </c>
      <c r="I29" s="85">
        <f t="shared" si="3"/>
        <v>15000</v>
      </c>
      <c r="J29" s="85">
        <f t="shared" si="3"/>
        <v>15000</v>
      </c>
      <c r="K29" s="85">
        <f t="shared" si="3"/>
        <v>15000</v>
      </c>
      <c r="L29" s="85">
        <f t="shared" si="3"/>
        <v>15000</v>
      </c>
      <c r="M29" s="85">
        <f t="shared" si="3"/>
        <v>15000</v>
      </c>
      <c r="N29" s="85">
        <f t="shared" si="3"/>
        <v>15000</v>
      </c>
      <c r="O29" s="85">
        <f t="shared" si="3"/>
        <v>15000</v>
      </c>
      <c r="P29" s="85">
        <f t="shared" si="3"/>
        <v>15000</v>
      </c>
      <c r="Q29" s="85">
        <f t="shared" si="3"/>
        <v>15000</v>
      </c>
      <c r="R29" s="85">
        <f t="shared" si="3"/>
        <v>15000</v>
      </c>
      <c r="S29" s="85">
        <f t="shared" si="3"/>
        <v>15000</v>
      </c>
      <c r="T29" s="85">
        <f t="shared" si="3"/>
        <v>15000</v>
      </c>
      <c r="U29" s="85">
        <f t="shared" si="3"/>
        <v>15000</v>
      </c>
      <c r="V29" s="85">
        <f t="shared" si="3"/>
        <v>15000</v>
      </c>
      <c r="W29" s="85">
        <f t="shared" si="3"/>
        <v>15000</v>
      </c>
      <c r="X29" s="85">
        <f t="shared" si="3"/>
        <v>15000</v>
      </c>
    </row>
    <row r="30" spans="1:24" x14ac:dyDescent="0.45">
      <c r="B30" t="s">
        <v>172</v>
      </c>
      <c r="C30" s="89" t="str">
        <f t="shared" si="2"/>
        <v>Other staff</v>
      </c>
      <c r="D30" s="87">
        <v>10000</v>
      </c>
      <c r="E30" s="85">
        <f t="shared" ref="E30:X30" si="4">E7*$D30</f>
        <v>10000</v>
      </c>
      <c r="F30" s="85">
        <f t="shared" si="4"/>
        <v>10000</v>
      </c>
      <c r="G30" s="85">
        <f t="shared" si="4"/>
        <v>10000</v>
      </c>
      <c r="H30" s="85">
        <f t="shared" si="4"/>
        <v>10000</v>
      </c>
      <c r="I30" s="85">
        <f t="shared" si="4"/>
        <v>10000</v>
      </c>
      <c r="J30" s="85">
        <f t="shared" si="4"/>
        <v>10000</v>
      </c>
      <c r="K30" s="85">
        <f t="shared" si="4"/>
        <v>10000</v>
      </c>
      <c r="L30" s="85">
        <f t="shared" si="4"/>
        <v>10000</v>
      </c>
      <c r="M30" s="85">
        <f t="shared" si="4"/>
        <v>10000</v>
      </c>
      <c r="N30" s="85">
        <f t="shared" si="4"/>
        <v>10000</v>
      </c>
      <c r="O30" s="85">
        <f t="shared" si="4"/>
        <v>10000</v>
      </c>
      <c r="P30" s="85">
        <f t="shared" si="4"/>
        <v>10000</v>
      </c>
      <c r="Q30" s="85">
        <f t="shared" si="4"/>
        <v>10000</v>
      </c>
      <c r="R30" s="85">
        <f t="shared" si="4"/>
        <v>10000</v>
      </c>
      <c r="S30" s="85">
        <f t="shared" si="4"/>
        <v>10000</v>
      </c>
      <c r="T30" s="85">
        <f t="shared" si="4"/>
        <v>10000</v>
      </c>
      <c r="U30" s="85">
        <f t="shared" si="4"/>
        <v>10000</v>
      </c>
      <c r="V30" s="85">
        <f t="shared" si="4"/>
        <v>10000</v>
      </c>
      <c r="W30" s="85">
        <f t="shared" si="4"/>
        <v>10000</v>
      </c>
      <c r="X30" s="85">
        <f t="shared" si="4"/>
        <v>10000</v>
      </c>
    </row>
    <row r="31" spans="1:24" x14ac:dyDescent="0.45">
      <c r="B31" t="s">
        <v>172</v>
      </c>
      <c r="C31" s="89" t="str">
        <f t="shared" si="2"/>
        <v>Other staff</v>
      </c>
      <c r="D31" s="87">
        <v>7000</v>
      </c>
      <c r="E31" s="85">
        <f t="shared" ref="E31:X31" si="5">E8*$D31</f>
        <v>7000</v>
      </c>
      <c r="F31" s="85">
        <f t="shared" si="5"/>
        <v>7000</v>
      </c>
      <c r="G31" s="85">
        <f t="shared" si="5"/>
        <v>7000</v>
      </c>
      <c r="H31" s="85">
        <f t="shared" si="5"/>
        <v>7000</v>
      </c>
      <c r="I31" s="85">
        <f t="shared" si="5"/>
        <v>7000</v>
      </c>
      <c r="J31" s="85">
        <f t="shared" si="5"/>
        <v>7000</v>
      </c>
      <c r="K31" s="85">
        <f t="shared" si="5"/>
        <v>7000</v>
      </c>
      <c r="L31" s="85">
        <f t="shared" si="5"/>
        <v>7000</v>
      </c>
      <c r="M31" s="85">
        <f t="shared" si="5"/>
        <v>7000</v>
      </c>
      <c r="N31" s="85">
        <f t="shared" si="5"/>
        <v>7000</v>
      </c>
      <c r="O31" s="85">
        <f t="shared" si="5"/>
        <v>7000</v>
      </c>
      <c r="P31" s="85">
        <f t="shared" si="5"/>
        <v>7000</v>
      </c>
      <c r="Q31" s="85">
        <f t="shared" si="5"/>
        <v>7000</v>
      </c>
      <c r="R31" s="85">
        <f t="shared" si="5"/>
        <v>7000</v>
      </c>
      <c r="S31" s="85">
        <f t="shared" si="5"/>
        <v>7000</v>
      </c>
      <c r="T31" s="85">
        <f t="shared" si="5"/>
        <v>7000</v>
      </c>
      <c r="U31" s="85">
        <f t="shared" si="5"/>
        <v>7000</v>
      </c>
      <c r="V31" s="85">
        <f t="shared" si="5"/>
        <v>7000</v>
      </c>
      <c r="W31" s="85">
        <f t="shared" si="5"/>
        <v>7000</v>
      </c>
      <c r="X31" s="85">
        <f t="shared" si="5"/>
        <v>7000</v>
      </c>
    </row>
    <row r="32" spans="1:24" x14ac:dyDescent="0.45">
      <c r="B32" t="s">
        <v>172</v>
      </c>
      <c r="C32" s="89" t="str">
        <f t="shared" si="2"/>
        <v>Other staff</v>
      </c>
      <c r="D32" s="87">
        <v>5000</v>
      </c>
      <c r="E32" s="85">
        <f t="shared" ref="E32:X32" si="6">E9*$D32</f>
        <v>5000</v>
      </c>
      <c r="F32" s="85">
        <f t="shared" si="6"/>
        <v>5000</v>
      </c>
      <c r="G32" s="85">
        <f t="shared" si="6"/>
        <v>5000</v>
      </c>
      <c r="H32" s="85">
        <f t="shared" si="6"/>
        <v>5000</v>
      </c>
      <c r="I32" s="85">
        <f t="shared" si="6"/>
        <v>5000</v>
      </c>
      <c r="J32" s="85">
        <f t="shared" si="6"/>
        <v>5000</v>
      </c>
      <c r="K32" s="85">
        <f t="shared" si="6"/>
        <v>5000</v>
      </c>
      <c r="L32" s="85">
        <f t="shared" si="6"/>
        <v>5000</v>
      </c>
      <c r="M32" s="85">
        <f t="shared" si="6"/>
        <v>5000</v>
      </c>
      <c r="N32" s="85">
        <f t="shared" si="6"/>
        <v>5000</v>
      </c>
      <c r="O32" s="85">
        <f t="shared" si="6"/>
        <v>5000</v>
      </c>
      <c r="P32" s="85">
        <f t="shared" si="6"/>
        <v>5000</v>
      </c>
      <c r="Q32" s="85">
        <f t="shared" si="6"/>
        <v>5000</v>
      </c>
      <c r="R32" s="85">
        <f t="shared" si="6"/>
        <v>5000</v>
      </c>
      <c r="S32" s="85">
        <f t="shared" si="6"/>
        <v>5000</v>
      </c>
      <c r="T32" s="85">
        <f t="shared" si="6"/>
        <v>5000</v>
      </c>
      <c r="U32" s="85">
        <f t="shared" si="6"/>
        <v>5000</v>
      </c>
      <c r="V32" s="85">
        <f t="shared" si="6"/>
        <v>5000</v>
      </c>
      <c r="W32" s="85">
        <f t="shared" si="6"/>
        <v>5000</v>
      </c>
      <c r="X32" s="85">
        <f t="shared" si="6"/>
        <v>5000</v>
      </c>
    </row>
    <row r="33" spans="1:24" x14ac:dyDescent="0.45">
      <c r="B33" t="s">
        <v>172</v>
      </c>
      <c r="C33" s="89" t="str">
        <f t="shared" si="2"/>
        <v>Other staff</v>
      </c>
      <c r="D33" s="87">
        <v>5000</v>
      </c>
      <c r="E33" s="85">
        <f t="shared" ref="E33:X33" si="7">E10*$D33</f>
        <v>5000</v>
      </c>
      <c r="F33" s="85">
        <f t="shared" si="7"/>
        <v>5000</v>
      </c>
      <c r="G33" s="85">
        <f t="shared" si="7"/>
        <v>5000</v>
      </c>
      <c r="H33" s="85">
        <f t="shared" si="7"/>
        <v>5000</v>
      </c>
      <c r="I33" s="85">
        <f t="shared" si="7"/>
        <v>5000</v>
      </c>
      <c r="J33" s="85">
        <f t="shared" si="7"/>
        <v>5000</v>
      </c>
      <c r="K33" s="85">
        <f t="shared" si="7"/>
        <v>5000</v>
      </c>
      <c r="L33" s="85">
        <f t="shared" si="7"/>
        <v>5000</v>
      </c>
      <c r="M33" s="85">
        <f t="shared" si="7"/>
        <v>5000</v>
      </c>
      <c r="N33" s="85">
        <f t="shared" si="7"/>
        <v>5000</v>
      </c>
      <c r="O33" s="85">
        <f t="shared" si="7"/>
        <v>5000</v>
      </c>
      <c r="P33" s="85">
        <f t="shared" si="7"/>
        <v>5000</v>
      </c>
      <c r="Q33" s="85">
        <f t="shared" si="7"/>
        <v>5000</v>
      </c>
      <c r="R33" s="85">
        <f t="shared" si="7"/>
        <v>5000</v>
      </c>
      <c r="S33" s="85">
        <f t="shared" si="7"/>
        <v>5000</v>
      </c>
      <c r="T33" s="85">
        <f t="shared" si="7"/>
        <v>5000</v>
      </c>
      <c r="U33" s="85">
        <f t="shared" si="7"/>
        <v>5000</v>
      </c>
      <c r="V33" s="85">
        <f t="shared" si="7"/>
        <v>5000</v>
      </c>
      <c r="W33" s="85">
        <f t="shared" si="7"/>
        <v>5000</v>
      </c>
      <c r="X33" s="85">
        <f t="shared" si="7"/>
        <v>5000</v>
      </c>
    </row>
    <row r="34" spans="1:24" x14ac:dyDescent="0.45">
      <c r="B34" t="s">
        <v>172</v>
      </c>
      <c r="C34" s="89" t="str">
        <f t="shared" si="2"/>
        <v>Other staff</v>
      </c>
      <c r="D34" s="87">
        <v>5000</v>
      </c>
      <c r="E34" s="85">
        <f t="shared" ref="E34:X34" si="8">E11*$D34</f>
        <v>5000</v>
      </c>
      <c r="F34" s="85">
        <f t="shared" si="8"/>
        <v>5000</v>
      </c>
      <c r="G34" s="85">
        <f t="shared" si="8"/>
        <v>5000</v>
      </c>
      <c r="H34" s="85">
        <f t="shared" si="8"/>
        <v>5000</v>
      </c>
      <c r="I34" s="85">
        <f t="shared" si="8"/>
        <v>5000</v>
      </c>
      <c r="J34" s="85">
        <f t="shared" si="8"/>
        <v>5000</v>
      </c>
      <c r="K34" s="85">
        <f t="shared" si="8"/>
        <v>5000</v>
      </c>
      <c r="L34" s="85">
        <f t="shared" si="8"/>
        <v>5000</v>
      </c>
      <c r="M34" s="85">
        <f t="shared" si="8"/>
        <v>5000</v>
      </c>
      <c r="N34" s="85">
        <f t="shared" si="8"/>
        <v>5000</v>
      </c>
      <c r="O34" s="85">
        <f t="shared" si="8"/>
        <v>5000</v>
      </c>
      <c r="P34" s="85">
        <f t="shared" si="8"/>
        <v>5000</v>
      </c>
      <c r="Q34" s="85">
        <f t="shared" si="8"/>
        <v>5000</v>
      </c>
      <c r="R34" s="85">
        <f t="shared" si="8"/>
        <v>5000</v>
      </c>
      <c r="S34" s="85">
        <f t="shared" si="8"/>
        <v>5000</v>
      </c>
      <c r="T34" s="85">
        <f t="shared" si="8"/>
        <v>5000</v>
      </c>
      <c r="U34" s="85">
        <f t="shared" si="8"/>
        <v>5000</v>
      </c>
      <c r="V34" s="85">
        <f t="shared" si="8"/>
        <v>5000</v>
      </c>
      <c r="W34" s="85">
        <f t="shared" si="8"/>
        <v>5000</v>
      </c>
      <c r="X34" s="85">
        <f t="shared" si="8"/>
        <v>5000</v>
      </c>
    </row>
    <row r="35" spans="1:24" x14ac:dyDescent="0.45">
      <c r="B35" t="s">
        <v>172</v>
      </c>
      <c r="C35" s="89" t="str">
        <f t="shared" si="2"/>
        <v>Other staff</v>
      </c>
      <c r="D35" s="87">
        <v>5000</v>
      </c>
      <c r="E35" s="85">
        <f t="shared" ref="E35:X35" si="9">E12*$D35</f>
        <v>5000</v>
      </c>
      <c r="F35" s="85">
        <f t="shared" si="9"/>
        <v>5000</v>
      </c>
      <c r="G35" s="85">
        <f t="shared" si="9"/>
        <v>5000</v>
      </c>
      <c r="H35" s="85">
        <f t="shared" si="9"/>
        <v>5000</v>
      </c>
      <c r="I35" s="85">
        <f t="shared" si="9"/>
        <v>5000</v>
      </c>
      <c r="J35" s="85">
        <f t="shared" si="9"/>
        <v>5000</v>
      </c>
      <c r="K35" s="85">
        <f t="shared" si="9"/>
        <v>5000</v>
      </c>
      <c r="L35" s="85">
        <f t="shared" si="9"/>
        <v>5000</v>
      </c>
      <c r="M35" s="85">
        <f t="shared" si="9"/>
        <v>5000</v>
      </c>
      <c r="N35" s="85">
        <f t="shared" si="9"/>
        <v>5000</v>
      </c>
      <c r="O35" s="85">
        <f t="shared" si="9"/>
        <v>5000</v>
      </c>
      <c r="P35" s="85">
        <f t="shared" si="9"/>
        <v>5000</v>
      </c>
      <c r="Q35" s="85">
        <f t="shared" si="9"/>
        <v>5000</v>
      </c>
      <c r="R35" s="85">
        <f t="shared" si="9"/>
        <v>5000</v>
      </c>
      <c r="S35" s="85">
        <f t="shared" si="9"/>
        <v>5000</v>
      </c>
      <c r="T35" s="85">
        <f t="shared" si="9"/>
        <v>5000</v>
      </c>
      <c r="U35" s="85">
        <f t="shared" si="9"/>
        <v>5000</v>
      </c>
      <c r="V35" s="85">
        <f t="shared" si="9"/>
        <v>5000</v>
      </c>
      <c r="W35" s="85">
        <f t="shared" si="9"/>
        <v>5000</v>
      </c>
      <c r="X35" s="85">
        <f t="shared" si="9"/>
        <v>5000</v>
      </c>
    </row>
    <row r="36" spans="1:24" x14ac:dyDescent="0.45">
      <c r="B36" t="s">
        <v>172</v>
      </c>
      <c r="C36" s="89" t="str">
        <f t="shared" si="2"/>
        <v>Other staff</v>
      </c>
      <c r="D36" s="87">
        <v>5000</v>
      </c>
      <c r="E36" s="85">
        <f t="shared" ref="E36:X36" si="10">E13*$D36</f>
        <v>5000</v>
      </c>
      <c r="F36" s="85">
        <f t="shared" si="10"/>
        <v>5000</v>
      </c>
      <c r="G36" s="85">
        <f t="shared" si="10"/>
        <v>5000</v>
      </c>
      <c r="H36" s="85">
        <f t="shared" si="10"/>
        <v>5000</v>
      </c>
      <c r="I36" s="85">
        <f t="shared" si="10"/>
        <v>5000</v>
      </c>
      <c r="J36" s="85">
        <f t="shared" si="10"/>
        <v>5000</v>
      </c>
      <c r="K36" s="85">
        <f t="shared" si="10"/>
        <v>5000</v>
      </c>
      <c r="L36" s="85">
        <f t="shared" si="10"/>
        <v>5000</v>
      </c>
      <c r="M36" s="85">
        <f t="shared" si="10"/>
        <v>5000</v>
      </c>
      <c r="N36" s="85">
        <f t="shared" si="10"/>
        <v>5000</v>
      </c>
      <c r="O36" s="85">
        <f t="shared" si="10"/>
        <v>5000</v>
      </c>
      <c r="P36" s="85">
        <f t="shared" si="10"/>
        <v>5000</v>
      </c>
      <c r="Q36" s="85">
        <f t="shared" si="10"/>
        <v>5000</v>
      </c>
      <c r="R36" s="85">
        <f t="shared" si="10"/>
        <v>5000</v>
      </c>
      <c r="S36" s="85">
        <f t="shared" si="10"/>
        <v>5000</v>
      </c>
      <c r="T36" s="85">
        <f t="shared" si="10"/>
        <v>5000</v>
      </c>
      <c r="U36" s="85">
        <f t="shared" si="10"/>
        <v>5000</v>
      </c>
      <c r="V36" s="85">
        <f t="shared" si="10"/>
        <v>5000</v>
      </c>
      <c r="W36" s="85">
        <f t="shared" si="10"/>
        <v>5000</v>
      </c>
      <c r="X36" s="85">
        <f t="shared" si="10"/>
        <v>5000</v>
      </c>
    </row>
    <row r="37" spans="1:24" x14ac:dyDescent="0.45">
      <c r="B37" t="s">
        <v>172</v>
      </c>
      <c r="C37" s="89" t="str">
        <f t="shared" si="2"/>
        <v>Other staff</v>
      </c>
      <c r="D37" s="87">
        <v>5000</v>
      </c>
      <c r="E37" s="85">
        <f t="shared" ref="E37:X37" si="11">E14*$D37</f>
        <v>5000</v>
      </c>
      <c r="F37" s="85">
        <f t="shared" si="11"/>
        <v>5000</v>
      </c>
      <c r="G37" s="85">
        <f t="shared" si="11"/>
        <v>5000</v>
      </c>
      <c r="H37" s="85">
        <f t="shared" si="11"/>
        <v>5000</v>
      </c>
      <c r="I37" s="85">
        <f t="shared" si="11"/>
        <v>5000</v>
      </c>
      <c r="J37" s="85">
        <f t="shared" si="11"/>
        <v>5000</v>
      </c>
      <c r="K37" s="85">
        <f t="shared" si="11"/>
        <v>5000</v>
      </c>
      <c r="L37" s="85">
        <f t="shared" si="11"/>
        <v>5000</v>
      </c>
      <c r="M37" s="85">
        <f t="shared" si="11"/>
        <v>5000</v>
      </c>
      <c r="N37" s="85">
        <f t="shared" si="11"/>
        <v>5000</v>
      </c>
      <c r="O37" s="85">
        <f t="shared" si="11"/>
        <v>5000</v>
      </c>
      <c r="P37" s="85">
        <f t="shared" si="11"/>
        <v>5000</v>
      </c>
      <c r="Q37" s="85">
        <f t="shared" si="11"/>
        <v>5000</v>
      </c>
      <c r="R37" s="85">
        <f t="shared" si="11"/>
        <v>5000</v>
      </c>
      <c r="S37" s="85">
        <f t="shared" si="11"/>
        <v>5000</v>
      </c>
      <c r="T37" s="85">
        <f t="shared" si="11"/>
        <v>5000</v>
      </c>
      <c r="U37" s="85">
        <f t="shared" si="11"/>
        <v>5000</v>
      </c>
      <c r="V37" s="85">
        <f t="shared" si="11"/>
        <v>5000</v>
      </c>
      <c r="W37" s="85">
        <f t="shared" si="11"/>
        <v>5000</v>
      </c>
      <c r="X37" s="85">
        <f t="shared" si="11"/>
        <v>5000</v>
      </c>
    </row>
    <row r="38" spans="1:24" x14ac:dyDescent="0.45">
      <c r="B38" t="s">
        <v>172</v>
      </c>
      <c r="C38" s="89" t="str">
        <f t="shared" si="2"/>
        <v>Other staff</v>
      </c>
      <c r="D38" s="87">
        <v>5000</v>
      </c>
      <c r="E38" s="85">
        <f t="shared" ref="E38:X38" si="12">E15*$D38</f>
        <v>5000</v>
      </c>
      <c r="F38" s="85">
        <f t="shared" si="12"/>
        <v>5000</v>
      </c>
      <c r="G38" s="85">
        <f t="shared" si="12"/>
        <v>5000</v>
      </c>
      <c r="H38" s="85">
        <f t="shared" si="12"/>
        <v>5000</v>
      </c>
      <c r="I38" s="85">
        <f t="shared" si="12"/>
        <v>5000</v>
      </c>
      <c r="J38" s="85">
        <f t="shared" si="12"/>
        <v>5000</v>
      </c>
      <c r="K38" s="85">
        <f t="shared" si="12"/>
        <v>5000</v>
      </c>
      <c r="L38" s="85">
        <f t="shared" si="12"/>
        <v>5000</v>
      </c>
      <c r="M38" s="85">
        <f t="shared" si="12"/>
        <v>5000</v>
      </c>
      <c r="N38" s="85">
        <f t="shared" si="12"/>
        <v>5000</v>
      </c>
      <c r="O38" s="85">
        <f t="shared" si="12"/>
        <v>5000</v>
      </c>
      <c r="P38" s="85">
        <f t="shared" si="12"/>
        <v>5000</v>
      </c>
      <c r="Q38" s="85">
        <f t="shared" si="12"/>
        <v>5000</v>
      </c>
      <c r="R38" s="85">
        <f t="shared" si="12"/>
        <v>5000</v>
      </c>
      <c r="S38" s="85">
        <f t="shared" si="12"/>
        <v>5000</v>
      </c>
      <c r="T38" s="85">
        <f t="shared" si="12"/>
        <v>5000</v>
      </c>
      <c r="U38" s="85">
        <f t="shared" si="12"/>
        <v>5000</v>
      </c>
      <c r="V38" s="85">
        <f t="shared" si="12"/>
        <v>5000</v>
      </c>
      <c r="W38" s="85">
        <f t="shared" si="12"/>
        <v>5000</v>
      </c>
      <c r="X38" s="85">
        <f t="shared" si="12"/>
        <v>5000</v>
      </c>
    </row>
    <row r="39" spans="1:24" x14ac:dyDescent="0.45">
      <c r="B39" t="s">
        <v>172</v>
      </c>
      <c r="C39" s="89" t="str">
        <f t="shared" si="2"/>
        <v>Other staff</v>
      </c>
      <c r="D39" s="87">
        <v>5000</v>
      </c>
      <c r="E39" s="85">
        <f t="shared" ref="E39:X39" si="13">E16*$D39</f>
        <v>5000</v>
      </c>
      <c r="F39" s="85">
        <f t="shared" si="13"/>
        <v>5000</v>
      </c>
      <c r="G39" s="85">
        <f t="shared" si="13"/>
        <v>5000</v>
      </c>
      <c r="H39" s="85">
        <f t="shared" si="13"/>
        <v>5000</v>
      </c>
      <c r="I39" s="85">
        <f t="shared" si="13"/>
        <v>5000</v>
      </c>
      <c r="J39" s="85">
        <f t="shared" si="13"/>
        <v>5000</v>
      </c>
      <c r="K39" s="85">
        <f t="shared" si="13"/>
        <v>5000</v>
      </c>
      <c r="L39" s="85">
        <f t="shared" si="13"/>
        <v>5000</v>
      </c>
      <c r="M39" s="85">
        <f t="shared" si="13"/>
        <v>5000</v>
      </c>
      <c r="N39" s="85">
        <f t="shared" si="13"/>
        <v>5000</v>
      </c>
      <c r="O39" s="85">
        <f t="shared" si="13"/>
        <v>5000</v>
      </c>
      <c r="P39" s="85">
        <f t="shared" si="13"/>
        <v>5000</v>
      </c>
      <c r="Q39" s="85">
        <f t="shared" si="13"/>
        <v>5000</v>
      </c>
      <c r="R39" s="85">
        <f t="shared" si="13"/>
        <v>5000</v>
      </c>
      <c r="S39" s="85">
        <f t="shared" si="13"/>
        <v>5000</v>
      </c>
      <c r="T39" s="85">
        <f t="shared" si="13"/>
        <v>5000</v>
      </c>
      <c r="U39" s="85">
        <f t="shared" si="13"/>
        <v>5000</v>
      </c>
      <c r="V39" s="85">
        <f t="shared" si="13"/>
        <v>5000</v>
      </c>
      <c r="W39" s="85">
        <f t="shared" si="13"/>
        <v>5000</v>
      </c>
      <c r="X39" s="85">
        <f t="shared" si="13"/>
        <v>5000</v>
      </c>
    </row>
    <row r="40" spans="1:24" x14ac:dyDescent="0.45">
      <c r="B40" t="s">
        <v>172</v>
      </c>
      <c r="C40" s="89" t="str">
        <f t="shared" si="2"/>
        <v>Other staff</v>
      </c>
      <c r="D40" s="87">
        <v>5000</v>
      </c>
      <c r="E40" s="85">
        <f t="shared" ref="E40:X40" si="14">E17*$D40</f>
        <v>5000</v>
      </c>
      <c r="F40" s="85">
        <f t="shared" si="14"/>
        <v>5000</v>
      </c>
      <c r="G40" s="85">
        <f t="shared" si="14"/>
        <v>5000</v>
      </c>
      <c r="H40" s="85">
        <f t="shared" si="14"/>
        <v>5000</v>
      </c>
      <c r="I40" s="85">
        <f t="shared" si="14"/>
        <v>5000</v>
      </c>
      <c r="J40" s="85">
        <f t="shared" si="14"/>
        <v>5000</v>
      </c>
      <c r="K40" s="85">
        <f t="shared" si="14"/>
        <v>5000</v>
      </c>
      <c r="L40" s="85">
        <f t="shared" si="14"/>
        <v>5000</v>
      </c>
      <c r="M40" s="85">
        <f t="shared" si="14"/>
        <v>5000</v>
      </c>
      <c r="N40" s="85">
        <f t="shared" si="14"/>
        <v>5000</v>
      </c>
      <c r="O40" s="85">
        <f t="shared" si="14"/>
        <v>5000</v>
      </c>
      <c r="P40" s="85">
        <f t="shared" si="14"/>
        <v>5000</v>
      </c>
      <c r="Q40" s="85">
        <f t="shared" si="14"/>
        <v>5000</v>
      </c>
      <c r="R40" s="85">
        <f t="shared" si="14"/>
        <v>5000</v>
      </c>
      <c r="S40" s="85">
        <f t="shared" si="14"/>
        <v>5000</v>
      </c>
      <c r="T40" s="85">
        <f t="shared" si="14"/>
        <v>5000</v>
      </c>
      <c r="U40" s="85">
        <f t="shared" si="14"/>
        <v>5000</v>
      </c>
      <c r="V40" s="85">
        <f t="shared" si="14"/>
        <v>5000</v>
      </c>
      <c r="W40" s="85">
        <f t="shared" si="14"/>
        <v>5000</v>
      </c>
      <c r="X40" s="85">
        <f t="shared" si="14"/>
        <v>5000</v>
      </c>
    </row>
    <row r="41" spans="1:24" x14ac:dyDescent="0.45">
      <c r="B41" t="s">
        <v>172</v>
      </c>
      <c r="C41" s="89" t="str">
        <f t="shared" si="2"/>
        <v>Other staff</v>
      </c>
      <c r="D41" s="87">
        <v>5000</v>
      </c>
      <c r="E41" s="85">
        <f t="shared" ref="E41:X41" si="15">E18*$D41</f>
        <v>5000</v>
      </c>
      <c r="F41" s="85">
        <f t="shared" si="15"/>
        <v>5000</v>
      </c>
      <c r="G41" s="85">
        <f t="shared" si="15"/>
        <v>5000</v>
      </c>
      <c r="H41" s="85">
        <f t="shared" si="15"/>
        <v>5000</v>
      </c>
      <c r="I41" s="85">
        <f t="shared" si="15"/>
        <v>5000</v>
      </c>
      <c r="J41" s="85">
        <f t="shared" si="15"/>
        <v>5000</v>
      </c>
      <c r="K41" s="85">
        <f t="shared" si="15"/>
        <v>5000</v>
      </c>
      <c r="L41" s="85">
        <f t="shared" si="15"/>
        <v>5000</v>
      </c>
      <c r="M41" s="85">
        <f t="shared" si="15"/>
        <v>5000</v>
      </c>
      <c r="N41" s="85">
        <f t="shared" si="15"/>
        <v>5000</v>
      </c>
      <c r="O41" s="85">
        <f t="shared" si="15"/>
        <v>5000</v>
      </c>
      <c r="P41" s="85">
        <f t="shared" si="15"/>
        <v>5000</v>
      </c>
      <c r="Q41" s="85">
        <f t="shared" si="15"/>
        <v>5000</v>
      </c>
      <c r="R41" s="85">
        <f t="shared" si="15"/>
        <v>5000</v>
      </c>
      <c r="S41" s="85">
        <f t="shared" si="15"/>
        <v>5000</v>
      </c>
      <c r="T41" s="85">
        <f t="shared" si="15"/>
        <v>5000</v>
      </c>
      <c r="U41" s="85">
        <f t="shared" si="15"/>
        <v>5000</v>
      </c>
      <c r="V41" s="85">
        <f t="shared" si="15"/>
        <v>5000</v>
      </c>
      <c r="W41" s="85">
        <f t="shared" si="15"/>
        <v>5000</v>
      </c>
      <c r="X41" s="85">
        <f t="shared" si="15"/>
        <v>5000</v>
      </c>
    </row>
    <row r="42" spans="1:24" x14ac:dyDescent="0.45">
      <c r="B42" t="s">
        <v>172</v>
      </c>
      <c r="C42" s="89" t="str">
        <f t="shared" si="2"/>
        <v>Other staff</v>
      </c>
      <c r="D42" s="87">
        <v>5000</v>
      </c>
      <c r="E42" s="85">
        <f t="shared" ref="E42:X42" si="16">E19*$D42</f>
        <v>5000</v>
      </c>
      <c r="F42" s="85">
        <f t="shared" si="16"/>
        <v>5000</v>
      </c>
      <c r="G42" s="85">
        <f t="shared" si="16"/>
        <v>5000</v>
      </c>
      <c r="H42" s="85">
        <f t="shared" si="16"/>
        <v>5000</v>
      </c>
      <c r="I42" s="85">
        <f t="shared" si="16"/>
        <v>5000</v>
      </c>
      <c r="J42" s="85">
        <f t="shared" si="16"/>
        <v>5000</v>
      </c>
      <c r="K42" s="85">
        <f t="shared" si="16"/>
        <v>5000</v>
      </c>
      <c r="L42" s="85">
        <f t="shared" si="16"/>
        <v>5000</v>
      </c>
      <c r="M42" s="85">
        <f t="shared" si="16"/>
        <v>5000</v>
      </c>
      <c r="N42" s="85">
        <f t="shared" si="16"/>
        <v>5000</v>
      </c>
      <c r="O42" s="85">
        <f t="shared" si="16"/>
        <v>5000</v>
      </c>
      <c r="P42" s="85">
        <f t="shared" si="16"/>
        <v>5000</v>
      </c>
      <c r="Q42" s="85">
        <f t="shared" si="16"/>
        <v>5000</v>
      </c>
      <c r="R42" s="85">
        <f t="shared" si="16"/>
        <v>5000</v>
      </c>
      <c r="S42" s="85">
        <f t="shared" si="16"/>
        <v>5000</v>
      </c>
      <c r="T42" s="85">
        <f t="shared" si="16"/>
        <v>5000</v>
      </c>
      <c r="U42" s="85">
        <f t="shared" si="16"/>
        <v>5000</v>
      </c>
      <c r="V42" s="85">
        <f t="shared" si="16"/>
        <v>5000</v>
      </c>
      <c r="W42" s="85">
        <f t="shared" si="16"/>
        <v>5000</v>
      </c>
      <c r="X42" s="85">
        <f t="shared" si="16"/>
        <v>5000</v>
      </c>
    </row>
    <row r="43" spans="1:24" x14ac:dyDescent="0.45">
      <c r="B43" t="s">
        <v>172</v>
      </c>
      <c r="C43" s="89" t="str">
        <f t="shared" si="2"/>
        <v>Other staff</v>
      </c>
      <c r="D43" s="87">
        <v>5000</v>
      </c>
      <c r="E43" s="85">
        <f t="shared" ref="E43:X43" si="17">E20*$D43</f>
        <v>5000</v>
      </c>
      <c r="F43" s="85">
        <f t="shared" si="17"/>
        <v>5000</v>
      </c>
      <c r="G43" s="85">
        <f t="shared" si="17"/>
        <v>5000</v>
      </c>
      <c r="H43" s="85">
        <f t="shared" si="17"/>
        <v>5000</v>
      </c>
      <c r="I43" s="85">
        <f t="shared" si="17"/>
        <v>5000</v>
      </c>
      <c r="J43" s="85">
        <f t="shared" si="17"/>
        <v>5000</v>
      </c>
      <c r="K43" s="85">
        <f t="shared" si="17"/>
        <v>5000</v>
      </c>
      <c r="L43" s="85">
        <f t="shared" si="17"/>
        <v>5000</v>
      </c>
      <c r="M43" s="85">
        <f t="shared" si="17"/>
        <v>5000</v>
      </c>
      <c r="N43" s="85">
        <f t="shared" si="17"/>
        <v>5000</v>
      </c>
      <c r="O43" s="85">
        <f t="shared" si="17"/>
        <v>5000</v>
      </c>
      <c r="P43" s="85">
        <f t="shared" si="17"/>
        <v>5000</v>
      </c>
      <c r="Q43" s="85">
        <f t="shared" si="17"/>
        <v>5000</v>
      </c>
      <c r="R43" s="85">
        <f t="shared" si="17"/>
        <v>5000</v>
      </c>
      <c r="S43" s="85">
        <f t="shared" si="17"/>
        <v>5000</v>
      </c>
      <c r="T43" s="85">
        <f t="shared" si="17"/>
        <v>5000</v>
      </c>
      <c r="U43" s="85">
        <f t="shared" si="17"/>
        <v>5000</v>
      </c>
      <c r="V43" s="85">
        <f t="shared" si="17"/>
        <v>5000</v>
      </c>
      <c r="W43" s="85">
        <f t="shared" si="17"/>
        <v>5000</v>
      </c>
      <c r="X43" s="85">
        <f t="shared" si="17"/>
        <v>5000</v>
      </c>
    </row>
    <row r="44" spans="1:24" x14ac:dyDescent="0.45">
      <c r="B44" t="s">
        <v>172</v>
      </c>
      <c r="C44" s="89" t="str">
        <f t="shared" si="2"/>
        <v>Other staff</v>
      </c>
      <c r="D44" s="87">
        <v>5000</v>
      </c>
      <c r="E44" s="85">
        <f t="shared" ref="E44:X44" si="18">E21*$D44</f>
        <v>5000</v>
      </c>
      <c r="F44" s="85">
        <f t="shared" si="18"/>
        <v>5000</v>
      </c>
      <c r="G44" s="85">
        <f t="shared" si="18"/>
        <v>5000</v>
      </c>
      <c r="H44" s="85">
        <f t="shared" si="18"/>
        <v>5000</v>
      </c>
      <c r="I44" s="85">
        <f t="shared" si="18"/>
        <v>5000</v>
      </c>
      <c r="J44" s="85">
        <f t="shared" si="18"/>
        <v>5000</v>
      </c>
      <c r="K44" s="85">
        <f t="shared" si="18"/>
        <v>5000</v>
      </c>
      <c r="L44" s="85">
        <f t="shared" si="18"/>
        <v>5000</v>
      </c>
      <c r="M44" s="85">
        <f t="shared" si="18"/>
        <v>5000</v>
      </c>
      <c r="N44" s="85">
        <f t="shared" si="18"/>
        <v>5000</v>
      </c>
      <c r="O44" s="85">
        <f t="shared" si="18"/>
        <v>5000</v>
      </c>
      <c r="P44" s="85">
        <f t="shared" si="18"/>
        <v>5000</v>
      </c>
      <c r="Q44" s="85">
        <f t="shared" si="18"/>
        <v>5000</v>
      </c>
      <c r="R44" s="85">
        <f t="shared" si="18"/>
        <v>5000</v>
      </c>
      <c r="S44" s="85">
        <f t="shared" si="18"/>
        <v>5000</v>
      </c>
      <c r="T44" s="85">
        <f t="shared" si="18"/>
        <v>5000</v>
      </c>
      <c r="U44" s="85">
        <f t="shared" si="18"/>
        <v>5000</v>
      </c>
      <c r="V44" s="85">
        <f t="shared" si="18"/>
        <v>5000</v>
      </c>
      <c r="W44" s="85">
        <f t="shared" si="18"/>
        <v>5000</v>
      </c>
      <c r="X44" s="85">
        <f t="shared" si="18"/>
        <v>5000</v>
      </c>
    </row>
    <row r="45" spans="1:24" x14ac:dyDescent="0.45">
      <c r="B45" t="s">
        <v>172</v>
      </c>
      <c r="C45" s="89" t="str">
        <f t="shared" si="2"/>
        <v>Other staff</v>
      </c>
      <c r="D45" s="87">
        <v>5000</v>
      </c>
      <c r="E45" s="85">
        <f t="shared" ref="E45:X45" si="19">E22*$D45</f>
        <v>5000</v>
      </c>
      <c r="F45" s="85">
        <f t="shared" si="19"/>
        <v>5000</v>
      </c>
      <c r="G45" s="85">
        <f t="shared" si="19"/>
        <v>5000</v>
      </c>
      <c r="H45" s="85">
        <f t="shared" si="19"/>
        <v>5000</v>
      </c>
      <c r="I45" s="85">
        <f t="shared" si="19"/>
        <v>5000</v>
      </c>
      <c r="J45" s="85">
        <f t="shared" si="19"/>
        <v>5000</v>
      </c>
      <c r="K45" s="85">
        <f t="shared" si="19"/>
        <v>5000</v>
      </c>
      <c r="L45" s="85">
        <f t="shared" si="19"/>
        <v>5000</v>
      </c>
      <c r="M45" s="85">
        <f t="shared" si="19"/>
        <v>5000</v>
      </c>
      <c r="N45" s="85">
        <f t="shared" si="19"/>
        <v>5000</v>
      </c>
      <c r="O45" s="85">
        <f t="shared" si="19"/>
        <v>5000</v>
      </c>
      <c r="P45" s="85">
        <f t="shared" si="19"/>
        <v>5000</v>
      </c>
      <c r="Q45" s="85">
        <f t="shared" si="19"/>
        <v>5000</v>
      </c>
      <c r="R45" s="85">
        <f t="shared" si="19"/>
        <v>5000</v>
      </c>
      <c r="S45" s="85">
        <f t="shared" si="19"/>
        <v>5000</v>
      </c>
      <c r="T45" s="85">
        <f t="shared" si="19"/>
        <v>5000</v>
      </c>
      <c r="U45" s="85">
        <f t="shared" si="19"/>
        <v>5000</v>
      </c>
      <c r="V45" s="85">
        <f t="shared" si="19"/>
        <v>5000</v>
      </c>
      <c r="W45" s="85">
        <f t="shared" si="19"/>
        <v>5000</v>
      </c>
      <c r="X45" s="85">
        <f t="shared" si="19"/>
        <v>5000</v>
      </c>
    </row>
    <row r="46" spans="1:24" x14ac:dyDescent="0.45">
      <c r="B46" t="s">
        <v>172</v>
      </c>
      <c r="C46" s="89" t="str">
        <f t="shared" si="2"/>
        <v>Other staff</v>
      </c>
      <c r="D46" s="87">
        <v>5000</v>
      </c>
      <c r="E46" s="85">
        <f t="shared" ref="E46:X46" si="20">E23*$D46</f>
        <v>5000</v>
      </c>
      <c r="F46" s="85">
        <f t="shared" si="20"/>
        <v>5000</v>
      </c>
      <c r="G46" s="85">
        <f t="shared" si="20"/>
        <v>5000</v>
      </c>
      <c r="H46" s="85">
        <f t="shared" si="20"/>
        <v>5000</v>
      </c>
      <c r="I46" s="85">
        <f t="shared" si="20"/>
        <v>5000</v>
      </c>
      <c r="J46" s="85">
        <f t="shared" si="20"/>
        <v>5000</v>
      </c>
      <c r="K46" s="85">
        <f t="shared" si="20"/>
        <v>5000</v>
      </c>
      <c r="L46" s="85">
        <f t="shared" si="20"/>
        <v>5000</v>
      </c>
      <c r="M46" s="85">
        <f t="shared" si="20"/>
        <v>5000</v>
      </c>
      <c r="N46" s="85">
        <f t="shared" si="20"/>
        <v>5000</v>
      </c>
      <c r="O46" s="85">
        <f t="shared" si="20"/>
        <v>5000</v>
      </c>
      <c r="P46" s="85">
        <f t="shared" si="20"/>
        <v>5000</v>
      </c>
      <c r="Q46" s="85">
        <f t="shared" si="20"/>
        <v>5000</v>
      </c>
      <c r="R46" s="85">
        <f t="shared" si="20"/>
        <v>5000</v>
      </c>
      <c r="S46" s="85">
        <f t="shared" si="20"/>
        <v>5000</v>
      </c>
      <c r="T46" s="85">
        <f t="shared" si="20"/>
        <v>5000</v>
      </c>
      <c r="U46" s="85">
        <f t="shared" si="20"/>
        <v>5000</v>
      </c>
      <c r="V46" s="85">
        <f t="shared" si="20"/>
        <v>5000</v>
      </c>
      <c r="W46" s="85">
        <f t="shared" si="20"/>
        <v>5000</v>
      </c>
      <c r="X46" s="85">
        <f t="shared" si="20"/>
        <v>5000</v>
      </c>
    </row>
    <row r="47" spans="1:24" s="7" customFormat="1" x14ac:dyDescent="0.45">
      <c r="A47" s="45" t="s">
        <v>189</v>
      </c>
      <c r="B47" s="45"/>
      <c r="C47" s="45"/>
      <c r="D47" s="88"/>
      <c r="E47" s="86">
        <f>SUM(E28:E46)</f>
        <v>125000</v>
      </c>
      <c r="F47" s="86">
        <f t="shared" ref="F47" si="21">SUM(F28:F46)</f>
        <v>125000</v>
      </c>
      <c r="G47" s="86">
        <f t="shared" ref="G47" si="22">SUM(G28:G46)</f>
        <v>125000</v>
      </c>
      <c r="H47" s="86">
        <f t="shared" ref="H47" si="23">SUM(H28:H46)</f>
        <v>125000</v>
      </c>
      <c r="I47" s="86">
        <f t="shared" ref="I47" si="24">SUM(I28:I46)</f>
        <v>125000</v>
      </c>
      <c r="J47" s="86">
        <f t="shared" ref="J47" si="25">SUM(J28:J46)</f>
        <v>125000</v>
      </c>
      <c r="K47" s="86">
        <f t="shared" ref="K47" si="26">SUM(K28:K46)</f>
        <v>125000</v>
      </c>
      <c r="L47" s="86">
        <f t="shared" ref="L47" si="27">SUM(L28:L46)</f>
        <v>125000</v>
      </c>
      <c r="M47" s="86">
        <f t="shared" ref="M47" si="28">SUM(M28:M46)</f>
        <v>125000</v>
      </c>
      <c r="N47" s="86">
        <f t="shared" ref="N47" si="29">SUM(N28:N46)</f>
        <v>125000</v>
      </c>
      <c r="O47" s="86">
        <f t="shared" ref="O47" si="30">SUM(O28:O46)</f>
        <v>125000</v>
      </c>
      <c r="P47" s="86">
        <f t="shared" ref="P47" si="31">SUM(P28:P46)</f>
        <v>125000</v>
      </c>
      <c r="Q47" s="86">
        <f t="shared" ref="Q47" si="32">SUM(Q28:Q46)</f>
        <v>125000</v>
      </c>
      <c r="R47" s="86">
        <f t="shared" ref="R47" si="33">SUM(R28:R46)</f>
        <v>125000</v>
      </c>
      <c r="S47" s="86">
        <f t="shared" ref="S47" si="34">SUM(S28:S46)</f>
        <v>125000</v>
      </c>
      <c r="T47" s="86">
        <f t="shared" ref="T47" si="35">SUM(T28:T46)</f>
        <v>125000</v>
      </c>
      <c r="U47" s="86">
        <f t="shared" ref="U47" si="36">SUM(U28:U46)</f>
        <v>125000</v>
      </c>
      <c r="V47" s="86">
        <f t="shared" ref="V47" si="37">SUM(V28:V46)</f>
        <v>125000</v>
      </c>
      <c r="W47" s="86">
        <f t="shared" ref="W47" si="38">SUM(W28:W46)</f>
        <v>125000</v>
      </c>
      <c r="X47" s="86">
        <f t="shared" ref="X47" si="39">SUM(X28:X46)</f>
        <v>125000</v>
      </c>
    </row>
  </sheetData>
  <mergeCells count="1">
    <mergeCell ref="A1:X1"/>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984A45-A2C0-4F3E-B881-FA96306CA6E9}">
  <dimension ref="A1:Z25"/>
  <sheetViews>
    <sheetView topLeftCell="D1" workbookViewId="0">
      <selection activeCell="E5" sqref="E5"/>
    </sheetView>
  </sheetViews>
  <sheetFormatPr defaultRowHeight="14.25" x14ac:dyDescent="0.45"/>
  <cols>
    <col min="1" max="1" width="15" customWidth="1"/>
    <col min="2" max="2" width="12" customWidth="1"/>
    <col min="3" max="3" width="35" customWidth="1"/>
    <col min="4" max="4" width="20" customWidth="1"/>
    <col min="5" max="26" width="11" customWidth="1"/>
  </cols>
  <sheetData>
    <row r="1" spans="1:26" x14ac:dyDescent="0.45">
      <c r="A1" s="233" t="s">
        <v>192</v>
      </c>
      <c r="B1" s="234"/>
      <c r="C1" s="234"/>
      <c r="D1" s="234"/>
      <c r="E1" s="234"/>
      <c r="F1" s="234"/>
      <c r="G1" s="234"/>
      <c r="H1" s="234"/>
      <c r="I1" s="234"/>
      <c r="J1" s="234"/>
      <c r="K1" s="234"/>
      <c r="L1" s="234"/>
      <c r="M1" s="234"/>
      <c r="N1" s="234"/>
      <c r="O1" s="234"/>
      <c r="P1" s="234"/>
      <c r="Q1" s="234"/>
      <c r="R1" s="234"/>
      <c r="S1" s="234"/>
      <c r="T1" s="234"/>
      <c r="U1" s="234"/>
      <c r="V1" s="234"/>
      <c r="W1" s="234"/>
      <c r="X1" s="235"/>
    </row>
    <row r="4" spans="1:26" x14ac:dyDescent="0.45">
      <c r="A4" s="1" t="s">
        <v>87</v>
      </c>
      <c r="B4" s="1" t="s">
        <v>88</v>
      </c>
      <c r="C4" s="1" t="s">
        <v>170</v>
      </c>
      <c r="D4" s="1" t="s">
        <v>90</v>
      </c>
      <c r="E4" s="64" t="s">
        <v>91</v>
      </c>
      <c r="F4" s="64" t="s">
        <v>92</v>
      </c>
      <c r="G4" s="64" t="s">
        <v>93</v>
      </c>
      <c r="H4" s="64" t="s">
        <v>94</v>
      </c>
      <c r="I4" s="64" t="s">
        <v>95</v>
      </c>
      <c r="J4" s="64" t="s">
        <v>96</v>
      </c>
      <c r="K4" s="64" t="s">
        <v>97</v>
      </c>
      <c r="L4" s="64" t="s">
        <v>98</v>
      </c>
      <c r="M4" s="64" t="s">
        <v>99</v>
      </c>
      <c r="N4" s="64" t="s">
        <v>100</v>
      </c>
      <c r="O4" s="64" t="s">
        <v>101</v>
      </c>
      <c r="P4" s="64" t="s">
        <v>102</v>
      </c>
      <c r="Q4" s="64" t="s">
        <v>103</v>
      </c>
      <c r="R4" s="64" t="s">
        <v>104</v>
      </c>
      <c r="S4" s="64" t="s">
        <v>105</v>
      </c>
      <c r="T4" s="64" t="s">
        <v>106</v>
      </c>
      <c r="U4" s="64" t="s">
        <v>107</v>
      </c>
      <c r="V4" s="64" t="s">
        <v>108</v>
      </c>
      <c r="W4" s="64" t="s">
        <v>109</v>
      </c>
      <c r="X4" s="64" t="s">
        <v>110</v>
      </c>
      <c r="Y4" s="64" t="s">
        <v>193</v>
      </c>
      <c r="Z4" s="64" t="s">
        <v>194</v>
      </c>
    </row>
    <row r="5" spans="1:26" x14ac:dyDescent="0.45">
      <c r="B5" s="58" t="s">
        <v>172</v>
      </c>
      <c r="C5" s="63" t="s">
        <v>195</v>
      </c>
      <c r="D5" s="70">
        <v>50</v>
      </c>
      <c r="E5" s="57">
        <f>Assumptions!E8*$D5</f>
        <v>100000</v>
      </c>
      <c r="F5" s="57">
        <f>Assumptions!F8*$D5</f>
        <v>200000</v>
      </c>
      <c r="G5" s="57">
        <f>Assumptions!G8*$D5</f>
        <v>200000</v>
      </c>
      <c r="H5" s="57">
        <f>Assumptions!H8*$D5</f>
        <v>200000</v>
      </c>
      <c r="I5" s="57">
        <f>Assumptions!I8*$D5</f>
        <v>200000</v>
      </c>
      <c r="J5" s="57">
        <f>Assumptions!J8*$D5</f>
        <v>200000</v>
      </c>
      <c r="K5" s="57">
        <f>Assumptions!K8*$D5</f>
        <v>200000</v>
      </c>
      <c r="L5" s="57">
        <f>Assumptions!L8*$D5</f>
        <v>200000</v>
      </c>
      <c r="M5" s="57">
        <f>Assumptions!M8*$D5</f>
        <v>200000</v>
      </c>
      <c r="N5" s="57">
        <f>Assumptions!N8*$D5</f>
        <v>200000</v>
      </c>
      <c r="O5" s="57">
        <f>Assumptions!O8*$D5</f>
        <v>200000</v>
      </c>
      <c r="P5" s="57">
        <f>Assumptions!P8*$D5</f>
        <v>200000</v>
      </c>
      <c r="Q5" s="57">
        <f>Assumptions!Q8*$D5</f>
        <v>200000</v>
      </c>
      <c r="R5" s="57">
        <f>Assumptions!R8*$D5</f>
        <v>200000</v>
      </c>
      <c r="S5" s="57">
        <f>Assumptions!S8*$D5</f>
        <v>200000</v>
      </c>
      <c r="T5" s="57">
        <f>Assumptions!T8*$D5</f>
        <v>200000</v>
      </c>
      <c r="U5" s="57">
        <f>Assumptions!U8*$D5</f>
        <v>200000</v>
      </c>
      <c r="V5" s="57">
        <f>Assumptions!V8*$D5</f>
        <v>200000</v>
      </c>
      <c r="W5" s="57">
        <f>Assumptions!W8*$D5</f>
        <v>200000</v>
      </c>
      <c r="X5" s="57">
        <f>Assumptions!X8*$D5</f>
        <v>200000</v>
      </c>
      <c r="Y5" s="57">
        <f>Assumptions!Y8*$D5</f>
        <v>0</v>
      </c>
      <c r="Z5" s="57">
        <f>Assumptions!Z8*$D5</f>
        <v>0</v>
      </c>
    </row>
    <row r="6" spans="1:26" x14ac:dyDescent="0.45">
      <c r="B6" t="s">
        <v>172</v>
      </c>
      <c r="C6" s="15" t="s">
        <v>196</v>
      </c>
      <c r="D6" s="71"/>
      <c r="E6" s="57">
        <f>HR!E47</f>
        <v>125000</v>
      </c>
      <c r="F6" s="57">
        <f>HR!F47</f>
        <v>125000</v>
      </c>
      <c r="G6" s="57">
        <f>HR!G47</f>
        <v>125000</v>
      </c>
      <c r="H6" s="57">
        <f>HR!H47</f>
        <v>125000</v>
      </c>
      <c r="I6" s="57">
        <f>HR!I47</f>
        <v>125000</v>
      </c>
      <c r="J6" s="57">
        <f>HR!J47</f>
        <v>125000</v>
      </c>
      <c r="K6" s="57">
        <f>HR!K47</f>
        <v>125000</v>
      </c>
      <c r="L6" s="57">
        <f>HR!L47</f>
        <v>125000</v>
      </c>
      <c r="M6" s="57">
        <f>HR!M47</f>
        <v>125000</v>
      </c>
      <c r="N6" s="57">
        <f>HR!N47</f>
        <v>125000</v>
      </c>
      <c r="O6" s="57">
        <f>HR!O47</f>
        <v>125000</v>
      </c>
      <c r="P6" s="57">
        <f>HR!P47</f>
        <v>125000</v>
      </c>
      <c r="Q6" s="57">
        <f>HR!Q47</f>
        <v>125000</v>
      </c>
      <c r="R6" s="57">
        <f>HR!R47</f>
        <v>125000</v>
      </c>
      <c r="S6" s="57">
        <f>HR!S47</f>
        <v>125000</v>
      </c>
      <c r="T6" s="57">
        <f>HR!T47</f>
        <v>125000</v>
      </c>
      <c r="U6" s="57">
        <f>HR!U47</f>
        <v>125000</v>
      </c>
      <c r="V6" s="57">
        <f>HR!V47</f>
        <v>125000</v>
      </c>
      <c r="W6" s="57">
        <f>HR!W47</f>
        <v>125000</v>
      </c>
      <c r="X6" s="57">
        <f>HR!X47</f>
        <v>125000</v>
      </c>
      <c r="Y6" s="57">
        <f>HR!Y47</f>
        <v>0</v>
      </c>
      <c r="Z6" s="57">
        <f>HR!Z47</f>
        <v>0</v>
      </c>
    </row>
    <row r="7" spans="1:26" x14ac:dyDescent="0.45">
      <c r="B7" t="s">
        <v>172</v>
      </c>
      <c r="C7" s="15" t="s">
        <v>197</v>
      </c>
      <c r="D7" s="59"/>
      <c r="E7" s="56">
        <v>50000</v>
      </c>
      <c r="F7" s="112"/>
      <c r="G7" s="112"/>
      <c r="H7" s="112"/>
      <c r="I7" s="112"/>
      <c r="J7" s="112"/>
      <c r="K7" s="112"/>
      <c r="L7" s="112"/>
      <c r="M7" s="112"/>
      <c r="N7" s="112"/>
      <c r="O7" s="112"/>
      <c r="P7" s="112"/>
      <c r="Q7" s="112"/>
      <c r="R7" s="112"/>
      <c r="S7" s="112"/>
      <c r="T7" s="112"/>
      <c r="U7" s="112"/>
      <c r="V7" s="112"/>
      <c r="W7" s="112"/>
      <c r="X7" s="112"/>
      <c r="Y7" s="112"/>
      <c r="Z7" s="112"/>
    </row>
    <row r="8" spans="1:26" x14ac:dyDescent="0.45">
      <c r="B8" t="s">
        <v>172</v>
      </c>
      <c r="C8" s="15" t="s">
        <v>198</v>
      </c>
      <c r="D8" s="59"/>
      <c r="E8" s="56">
        <v>20000</v>
      </c>
      <c r="F8" s="112"/>
      <c r="G8" s="112"/>
      <c r="H8" s="112"/>
      <c r="I8" s="112"/>
      <c r="J8" s="112"/>
      <c r="K8" s="112"/>
      <c r="L8" s="112"/>
      <c r="M8" s="112"/>
      <c r="N8" s="112"/>
      <c r="O8" s="112"/>
      <c r="P8" s="112"/>
      <c r="Q8" s="112"/>
      <c r="R8" s="112"/>
      <c r="S8" s="112"/>
      <c r="T8" s="112"/>
      <c r="U8" s="112"/>
      <c r="V8" s="112"/>
      <c r="W8" s="112"/>
      <c r="X8" s="112"/>
      <c r="Y8" s="112"/>
      <c r="Z8" s="112"/>
    </row>
    <row r="9" spans="1:26" x14ac:dyDescent="0.45">
      <c r="B9" t="s">
        <v>172</v>
      </c>
      <c r="C9" s="15" t="s">
        <v>199</v>
      </c>
      <c r="D9" s="59"/>
      <c r="E9" s="56">
        <v>50000</v>
      </c>
      <c r="F9" s="112"/>
      <c r="G9" s="112"/>
      <c r="H9" s="112"/>
      <c r="I9" s="112"/>
      <c r="J9" s="112"/>
      <c r="K9" s="112"/>
      <c r="L9" s="112"/>
      <c r="M9" s="112"/>
      <c r="N9" s="112"/>
      <c r="O9" s="112"/>
      <c r="P9" s="112"/>
      <c r="Q9" s="112"/>
      <c r="R9" s="112"/>
      <c r="S9" s="112"/>
      <c r="T9" s="112"/>
      <c r="U9" s="112"/>
      <c r="V9" s="112"/>
      <c r="W9" s="112"/>
      <c r="X9" s="112"/>
      <c r="Y9" s="112"/>
      <c r="Z9" s="112"/>
    </row>
    <row r="10" spans="1:26" x14ac:dyDescent="0.45">
      <c r="B10" t="s">
        <v>172</v>
      </c>
      <c r="C10" s="15" t="s">
        <v>200</v>
      </c>
      <c r="D10" s="59"/>
      <c r="E10" s="57">
        <f>'Carbon Costs'!E11</f>
        <v>160000</v>
      </c>
      <c r="F10" s="57">
        <f>'Carbon Costs'!F11</f>
        <v>0</v>
      </c>
      <c r="G10" s="57">
        <f>'Carbon Costs'!G11</f>
        <v>0</v>
      </c>
      <c r="H10" s="57">
        <f>'Carbon Costs'!H11</f>
        <v>0</v>
      </c>
      <c r="I10" s="57">
        <f>'Carbon Costs'!I11</f>
        <v>160000</v>
      </c>
      <c r="J10" s="57">
        <f>'Carbon Costs'!J11</f>
        <v>0</v>
      </c>
      <c r="K10" s="57">
        <f>'Carbon Costs'!K11</f>
        <v>0</v>
      </c>
      <c r="L10" s="57">
        <f>'Carbon Costs'!L11</f>
        <v>0</v>
      </c>
      <c r="M10" s="57">
        <f>'Carbon Costs'!M11</f>
        <v>0</v>
      </c>
      <c r="N10" s="57">
        <f>'Carbon Costs'!N11</f>
        <v>160000</v>
      </c>
      <c r="O10" s="57">
        <f>'Carbon Costs'!O11</f>
        <v>0</v>
      </c>
      <c r="P10" s="57">
        <f>'Carbon Costs'!P11</f>
        <v>0</v>
      </c>
      <c r="Q10" s="57">
        <f>'Carbon Costs'!Q11</f>
        <v>0</v>
      </c>
      <c r="R10" s="57">
        <f>'Carbon Costs'!R11</f>
        <v>0</v>
      </c>
      <c r="S10" s="57">
        <f>'Carbon Costs'!S11</f>
        <v>160000</v>
      </c>
      <c r="T10" s="57">
        <f>'Carbon Costs'!T11</f>
        <v>0</v>
      </c>
      <c r="U10" s="57">
        <f>'Carbon Costs'!U11</f>
        <v>0</v>
      </c>
      <c r="V10" s="57">
        <f>'Carbon Costs'!V11</f>
        <v>0</v>
      </c>
      <c r="W10" s="57">
        <f>'Carbon Costs'!W11</f>
        <v>0</v>
      </c>
      <c r="X10" s="57">
        <f>'Carbon Costs'!X11</f>
        <v>160000</v>
      </c>
      <c r="Y10" s="57">
        <f>'Carbon Costs'!Y11</f>
        <v>0</v>
      </c>
      <c r="Z10" s="57">
        <f>'Carbon Costs'!Z11</f>
        <v>0</v>
      </c>
    </row>
    <row r="11" spans="1:26" x14ac:dyDescent="0.45">
      <c r="B11" t="s">
        <v>172</v>
      </c>
      <c r="C11" s="15" t="s">
        <v>201</v>
      </c>
      <c r="D11" s="59"/>
      <c r="E11" s="112"/>
      <c r="F11" s="112"/>
      <c r="G11" s="112"/>
      <c r="H11" s="112"/>
      <c r="I11" s="112"/>
      <c r="J11" s="112"/>
      <c r="K11" s="112"/>
      <c r="L11" s="112"/>
      <c r="M11" s="112"/>
      <c r="N11" s="112"/>
      <c r="O11" s="112"/>
      <c r="P11" s="112"/>
      <c r="Q11" s="112"/>
      <c r="R11" s="112"/>
      <c r="S11" s="112"/>
      <c r="T11" s="112"/>
      <c r="U11" s="112"/>
      <c r="V11" s="112"/>
      <c r="W11" s="112"/>
      <c r="X11" s="112"/>
      <c r="Y11" s="112"/>
      <c r="Z11" s="112"/>
    </row>
    <row r="12" spans="1:26" x14ac:dyDescent="0.45">
      <c r="B12" t="s">
        <v>172</v>
      </c>
      <c r="C12" s="15" t="s">
        <v>202</v>
      </c>
      <c r="D12" s="59"/>
      <c r="E12" s="112"/>
      <c r="F12" s="112"/>
      <c r="G12" s="112"/>
      <c r="H12" s="112"/>
      <c r="I12" s="112"/>
      <c r="J12" s="112"/>
      <c r="K12" s="112"/>
      <c r="L12" s="112"/>
      <c r="M12" s="112"/>
      <c r="N12" s="112"/>
      <c r="O12" s="112"/>
      <c r="P12" s="112"/>
      <c r="Q12" s="112"/>
      <c r="R12" s="112"/>
      <c r="S12" s="112"/>
      <c r="T12" s="112"/>
      <c r="U12" s="112"/>
      <c r="V12" s="112"/>
      <c r="W12" s="112"/>
      <c r="X12" s="112"/>
      <c r="Y12" s="112"/>
      <c r="Z12" s="112"/>
    </row>
    <row r="13" spans="1:26" x14ac:dyDescent="0.45">
      <c r="B13" t="s">
        <v>172</v>
      </c>
      <c r="C13" s="15" t="s">
        <v>180</v>
      </c>
      <c r="D13" s="59"/>
      <c r="E13" s="112"/>
      <c r="F13" s="112"/>
      <c r="G13" s="112"/>
      <c r="H13" s="112"/>
      <c r="I13" s="112"/>
      <c r="J13" s="112"/>
      <c r="K13" s="112"/>
      <c r="L13" s="112"/>
      <c r="M13" s="112"/>
      <c r="N13" s="112"/>
      <c r="O13" s="112"/>
      <c r="P13" s="112"/>
      <c r="Q13" s="112"/>
      <c r="R13" s="112"/>
      <c r="S13" s="112"/>
      <c r="T13" s="112"/>
      <c r="U13" s="112"/>
      <c r="V13" s="112"/>
      <c r="W13" s="112"/>
      <c r="X13" s="112"/>
      <c r="Y13" s="112"/>
      <c r="Z13" s="112"/>
    </row>
    <row r="14" spans="1:26" x14ac:dyDescent="0.45">
      <c r="B14" t="s">
        <v>172</v>
      </c>
      <c r="C14" s="15" t="s">
        <v>180</v>
      </c>
      <c r="D14" s="59"/>
      <c r="E14" s="112"/>
      <c r="F14" s="112"/>
      <c r="G14" s="112"/>
      <c r="H14" s="112"/>
      <c r="I14" s="112"/>
      <c r="J14" s="112"/>
      <c r="K14" s="112"/>
      <c r="L14" s="112"/>
      <c r="M14" s="112"/>
      <c r="N14" s="112"/>
      <c r="O14" s="112"/>
      <c r="P14" s="112"/>
      <c r="Q14" s="112"/>
      <c r="R14" s="112"/>
      <c r="S14" s="112"/>
      <c r="T14" s="112"/>
      <c r="U14" s="112"/>
      <c r="V14" s="112"/>
      <c r="W14" s="112"/>
      <c r="X14" s="112"/>
      <c r="Y14" s="112"/>
      <c r="Z14" s="112"/>
    </row>
    <row r="15" spans="1:26" x14ac:dyDescent="0.45">
      <c r="B15" t="s">
        <v>172</v>
      </c>
      <c r="C15" s="15" t="s">
        <v>180</v>
      </c>
      <c r="D15" s="59"/>
      <c r="E15" s="112"/>
      <c r="F15" s="112"/>
      <c r="G15" s="112"/>
      <c r="H15" s="112"/>
      <c r="I15" s="112"/>
      <c r="J15" s="112"/>
      <c r="K15" s="112"/>
      <c r="L15" s="112"/>
      <c r="M15" s="112"/>
      <c r="N15" s="112"/>
      <c r="O15" s="112"/>
      <c r="P15" s="112"/>
      <c r="Q15" s="112"/>
      <c r="R15" s="112"/>
      <c r="S15" s="112"/>
      <c r="T15" s="112"/>
      <c r="U15" s="112"/>
      <c r="V15" s="112"/>
      <c r="W15" s="112"/>
      <c r="X15" s="112"/>
      <c r="Y15" s="112"/>
      <c r="Z15" s="112"/>
    </row>
    <row r="16" spans="1:26" x14ac:dyDescent="0.45">
      <c r="B16" t="s">
        <v>172</v>
      </c>
      <c r="C16" s="15" t="s">
        <v>180</v>
      </c>
      <c r="D16" s="59"/>
      <c r="E16" s="112"/>
      <c r="F16" s="112"/>
      <c r="G16" s="112"/>
      <c r="H16" s="112"/>
      <c r="I16" s="112"/>
      <c r="J16" s="112"/>
      <c r="K16" s="112"/>
      <c r="L16" s="112"/>
      <c r="M16" s="112"/>
      <c r="N16" s="112"/>
      <c r="O16" s="112"/>
      <c r="P16" s="112"/>
      <c r="Q16" s="112"/>
      <c r="R16" s="112"/>
      <c r="S16" s="112"/>
      <c r="T16" s="112"/>
      <c r="U16" s="112"/>
      <c r="V16" s="112"/>
      <c r="W16" s="112"/>
      <c r="X16" s="112"/>
      <c r="Y16" s="112"/>
      <c r="Z16" s="112"/>
    </row>
    <row r="17" spans="1:26" x14ac:dyDescent="0.45">
      <c r="B17" t="s">
        <v>172</v>
      </c>
      <c r="C17" s="15" t="s">
        <v>180</v>
      </c>
      <c r="D17" s="59"/>
      <c r="E17" s="112"/>
      <c r="F17" s="112"/>
      <c r="G17" s="112"/>
      <c r="H17" s="112"/>
      <c r="I17" s="112"/>
      <c r="J17" s="112"/>
      <c r="K17" s="112"/>
      <c r="L17" s="112"/>
      <c r="M17" s="112"/>
      <c r="N17" s="112"/>
      <c r="O17" s="112"/>
      <c r="P17" s="112"/>
      <c r="Q17" s="112"/>
      <c r="R17" s="112"/>
      <c r="S17" s="112"/>
      <c r="T17" s="112"/>
      <c r="U17" s="112"/>
      <c r="V17" s="112"/>
      <c r="W17" s="112"/>
      <c r="X17" s="112"/>
      <c r="Y17" s="112"/>
      <c r="Z17" s="112"/>
    </row>
    <row r="18" spans="1:26" x14ac:dyDescent="0.45">
      <c r="A18" s="42"/>
      <c r="B18" s="42" t="s">
        <v>172</v>
      </c>
      <c r="C18" s="43" t="s">
        <v>181</v>
      </c>
      <c r="D18" s="44"/>
      <c r="E18" s="112"/>
      <c r="F18" s="112"/>
      <c r="G18" s="112"/>
      <c r="H18" s="112"/>
      <c r="I18" s="112"/>
      <c r="J18" s="112"/>
      <c r="K18" s="112"/>
      <c r="L18" s="112"/>
      <c r="M18" s="112"/>
      <c r="N18" s="112"/>
      <c r="O18" s="112"/>
      <c r="P18" s="112"/>
      <c r="Q18" s="112"/>
      <c r="R18" s="112"/>
      <c r="S18" s="112"/>
      <c r="T18" s="112"/>
      <c r="U18" s="112"/>
      <c r="V18" s="112"/>
      <c r="W18" s="112"/>
      <c r="X18" s="112"/>
      <c r="Y18" s="112"/>
      <c r="Z18" s="112"/>
    </row>
    <row r="19" spans="1:26" s="7" customFormat="1" x14ac:dyDescent="0.45">
      <c r="A19" s="45"/>
      <c r="B19" s="45" t="s">
        <v>172</v>
      </c>
      <c r="C19" s="47" t="s">
        <v>182</v>
      </c>
      <c r="D19" s="46"/>
      <c r="E19" s="86">
        <f>SUM(E5:E18)</f>
        <v>505000</v>
      </c>
      <c r="F19" s="86">
        <f t="shared" ref="F19:Y19" si="0">SUM(F5:F18)</f>
        <v>325000</v>
      </c>
      <c r="G19" s="86">
        <f t="shared" si="0"/>
        <v>325000</v>
      </c>
      <c r="H19" s="86">
        <f t="shared" si="0"/>
        <v>325000</v>
      </c>
      <c r="I19" s="86">
        <f t="shared" si="0"/>
        <v>485000</v>
      </c>
      <c r="J19" s="86">
        <f t="shared" si="0"/>
        <v>325000</v>
      </c>
      <c r="K19" s="86">
        <f t="shared" si="0"/>
        <v>325000</v>
      </c>
      <c r="L19" s="86">
        <f t="shared" si="0"/>
        <v>325000</v>
      </c>
      <c r="M19" s="86">
        <f t="shared" si="0"/>
        <v>325000</v>
      </c>
      <c r="N19" s="86">
        <f t="shared" si="0"/>
        <v>485000</v>
      </c>
      <c r="O19" s="86">
        <f t="shared" si="0"/>
        <v>325000</v>
      </c>
      <c r="P19" s="86">
        <f t="shared" si="0"/>
        <v>325000</v>
      </c>
      <c r="Q19" s="86">
        <f t="shared" si="0"/>
        <v>325000</v>
      </c>
      <c r="R19" s="86">
        <f t="shared" si="0"/>
        <v>325000</v>
      </c>
      <c r="S19" s="86">
        <f t="shared" si="0"/>
        <v>485000</v>
      </c>
      <c r="T19" s="86">
        <f t="shared" si="0"/>
        <v>325000</v>
      </c>
      <c r="U19" s="86">
        <f t="shared" si="0"/>
        <v>325000</v>
      </c>
      <c r="V19" s="86">
        <f t="shared" si="0"/>
        <v>325000</v>
      </c>
      <c r="W19" s="86">
        <f t="shared" si="0"/>
        <v>325000</v>
      </c>
      <c r="X19" s="86">
        <f t="shared" si="0"/>
        <v>485000</v>
      </c>
      <c r="Y19" s="86">
        <f t="shared" si="0"/>
        <v>0</v>
      </c>
      <c r="Z19" s="86">
        <f>SUM(Z5:Z18)</f>
        <v>0</v>
      </c>
    </row>
    <row r="24" spans="1:26" x14ac:dyDescent="0.45">
      <c r="A24" s="18" t="s">
        <v>90</v>
      </c>
    </row>
    <row r="25" spans="1:26" x14ac:dyDescent="0.45">
      <c r="A25" s="245"/>
      <c r="B25" s="245"/>
      <c r="C25" s="245"/>
      <c r="D25" s="245"/>
      <c r="E25" s="245"/>
      <c r="F25" s="245"/>
      <c r="G25" s="245"/>
      <c r="H25" s="245"/>
      <c r="I25" s="245"/>
    </row>
  </sheetData>
  <mergeCells count="2">
    <mergeCell ref="A1:X1"/>
    <mergeCell ref="A25:I25"/>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0E160F-63A0-443E-B177-556C224FAC3A}">
  <dimension ref="A1:Z17"/>
  <sheetViews>
    <sheetView topLeftCell="D1" workbookViewId="0">
      <selection sqref="A1:X1"/>
    </sheetView>
  </sheetViews>
  <sheetFormatPr defaultRowHeight="14.25" x14ac:dyDescent="0.45"/>
  <cols>
    <col min="1" max="1" width="15" customWidth="1"/>
    <col min="2" max="2" width="12" customWidth="1"/>
    <col min="3" max="3" width="35" customWidth="1"/>
    <col min="4" max="4" width="20" customWidth="1"/>
    <col min="5" max="26" width="11" customWidth="1"/>
  </cols>
  <sheetData>
    <row r="1" spans="1:26" x14ac:dyDescent="0.45">
      <c r="A1" s="233" t="s">
        <v>200</v>
      </c>
      <c r="B1" s="234"/>
      <c r="C1" s="234"/>
      <c r="D1" s="234"/>
      <c r="E1" s="234"/>
      <c r="F1" s="234"/>
      <c r="G1" s="234"/>
      <c r="H1" s="234"/>
      <c r="I1" s="234"/>
      <c r="J1" s="234"/>
      <c r="K1" s="234"/>
      <c r="L1" s="234"/>
      <c r="M1" s="234"/>
      <c r="N1" s="234"/>
      <c r="O1" s="234"/>
      <c r="P1" s="234"/>
      <c r="Q1" s="234"/>
      <c r="R1" s="234"/>
      <c r="S1" s="234"/>
      <c r="T1" s="234"/>
      <c r="U1" s="234"/>
      <c r="V1" s="234"/>
      <c r="W1" s="234"/>
      <c r="X1" s="235"/>
    </row>
    <row r="4" spans="1:26" x14ac:dyDescent="0.45">
      <c r="A4" s="1" t="s">
        <v>87</v>
      </c>
      <c r="B4" s="1" t="s">
        <v>88</v>
      </c>
      <c r="C4" s="1" t="s">
        <v>170</v>
      </c>
      <c r="D4" s="1" t="s">
        <v>90</v>
      </c>
      <c r="E4" s="64" t="s">
        <v>91</v>
      </c>
      <c r="F4" s="64" t="s">
        <v>92</v>
      </c>
      <c r="G4" s="64" t="s">
        <v>93</v>
      </c>
      <c r="H4" s="64" t="s">
        <v>94</v>
      </c>
      <c r="I4" s="64" t="s">
        <v>95</v>
      </c>
      <c r="J4" s="64" t="s">
        <v>96</v>
      </c>
      <c r="K4" s="64" t="s">
        <v>97</v>
      </c>
      <c r="L4" s="64" t="s">
        <v>98</v>
      </c>
      <c r="M4" s="64" t="s">
        <v>99</v>
      </c>
      <c r="N4" s="64" t="s">
        <v>100</v>
      </c>
      <c r="O4" s="64" t="s">
        <v>101</v>
      </c>
      <c r="P4" s="64" t="s">
        <v>102</v>
      </c>
      <c r="Q4" s="64" t="s">
        <v>103</v>
      </c>
      <c r="R4" s="64" t="s">
        <v>104</v>
      </c>
      <c r="S4" s="64" t="s">
        <v>105</v>
      </c>
      <c r="T4" s="64" t="s">
        <v>106</v>
      </c>
      <c r="U4" s="64" t="s">
        <v>107</v>
      </c>
      <c r="V4" s="64" t="s">
        <v>108</v>
      </c>
      <c r="W4" s="64" t="s">
        <v>109</v>
      </c>
      <c r="X4" s="64" t="s">
        <v>110</v>
      </c>
      <c r="Y4" s="64" t="s">
        <v>193</v>
      </c>
      <c r="Z4" s="64" t="s">
        <v>194</v>
      </c>
    </row>
    <row r="5" spans="1:26" x14ac:dyDescent="0.45">
      <c r="B5" t="s">
        <v>172</v>
      </c>
      <c r="C5" s="15" t="s">
        <v>203</v>
      </c>
      <c r="E5" s="110">
        <v>10000</v>
      </c>
      <c r="F5" s="110"/>
      <c r="G5" s="110"/>
      <c r="H5" s="110"/>
      <c r="I5" s="110">
        <v>10000</v>
      </c>
      <c r="J5" s="110"/>
      <c r="K5" s="110"/>
      <c r="L5" s="110"/>
      <c r="M5" s="110"/>
      <c r="N5" s="110">
        <v>10000</v>
      </c>
      <c r="O5" s="110"/>
      <c r="P5" s="110"/>
      <c r="Q5" s="110"/>
      <c r="R5" s="110"/>
      <c r="S5" s="110">
        <v>10000</v>
      </c>
      <c r="T5" s="110"/>
      <c r="U5" s="110"/>
      <c r="V5" s="110"/>
      <c r="W5" s="110"/>
      <c r="X5" s="110">
        <v>10000</v>
      </c>
      <c r="Y5" s="8"/>
      <c r="Z5" s="8"/>
    </row>
    <row r="6" spans="1:26" x14ac:dyDescent="0.45">
      <c r="B6" t="s">
        <v>172</v>
      </c>
      <c r="C6" s="15" t="s">
        <v>204</v>
      </c>
      <c r="E6" s="66">
        <v>50000</v>
      </c>
      <c r="F6" s="66"/>
      <c r="G6" s="111"/>
      <c r="H6" s="111"/>
      <c r="I6" s="66">
        <v>50000</v>
      </c>
      <c r="J6" s="111"/>
      <c r="K6" s="111"/>
      <c r="L6" s="111"/>
      <c r="M6" s="111"/>
      <c r="N6" s="66">
        <v>50000</v>
      </c>
      <c r="O6" s="111"/>
      <c r="P6" s="111"/>
      <c r="Q6" s="111"/>
      <c r="R6" s="111"/>
      <c r="S6" s="66">
        <v>50000</v>
      </c>
      <c r="T6" s="111"/>
      <c r="U6" s="111"/>
      <c r="V6" s="111"/>
      <c r="W6" s="111"/>
      <c r="X6" s="66">
        <v>50000</v>
      </c>
      <c r="Y6" s="111"/>
      <c r="Z6" s="111"/>
    </row>
    <row r="7" spans="1:26" x14ac:dyDescent="0.45">
      <c r="B7" t="s">
        <v>172</v>
      </c>
      <c r="C7" s="15" t="s">
        <v>205</v>
      </c>
      <c r="E7" s="66">
        <v>100000</v>
      </c>
      <c r="F7" s="112"/>
      <c r="G7" s="112"/>
      <c r="H7" s="112"/>
      <c r="I7" s="66">
        <v>100000</v>
      </c>
      <c r="J7" s="112"/>
      <c r="K7" s="112"/>
      <c r="L7" s="112"/>
      <c r="M7" s="112"/>
      <c r="N7" s="66">
        <v>100000</v>
      </c>
      <c r="O7" s="112"/>
      <c r="P7" s="112"/>
      <c r="Q7" s="112"/>
      <c r="R7" s="112"/>
      <c r="S7" s="66">
        <v>100000</v>
      </c>
      <c r="T7" s="112"/>
      <c r="U7" s="112"/>
      <c r="V7" s="112"/>
      <c r="W7" s="112"/>
      <c r="X7" s="66">
        <v>100000</v>
      </c>
      <c r="Y7" s="112"/>
      <c r="Z7" s="112"/>
    </row>
    <row r="8" spans="1:26" x14ac:dyDescent="0.45">
      <c r="B8" t="s">
        <v>172</v>
      </c>
      <c r="C8" s="15" t="s">
        <v>206</v>
      </c>
      <c r="E8" s="112"/>
      <c r="F8" s="112"/>
      <c r="G8" s="112"/>
      <c r="H8" s="112"/>
      <c r="I8" s="112"/>
      <c r="J8" s="112"/>
      <c r="K8" s="112"/>
      <c r="L8" s="112"/>
      <c r="M8" s="112"/>
      <c r="N8" s="112"/>
      <c r="O8" s="112"/>
      <c r="P8" s="112"/>
      <c r="Q8" s="112"/>
      <c r="R8" s="112"/>
      <c r="S8" s="112"/>
      <c r="T8" s="112"/>
      <c r="U8" s="112"/>
      <c r="V8" s="112"/>
      <c r="W8" s="112"/>
      <c r="X8" s="112"/>
      <c r="Y8" s="112"/>
      <c r="Z8" s="112"/>
    </row>
    <row r="9" spans="1:26" x14ac:dyDescent="0.45">
      <c r="B9" t="s">
        <v>172</v>
      </c>
      <c r="C9" s="15" t="s">
        <v>181</v>
      </c>
      <c r="E9" s="112"/>
      <c r="F9" s="112"/>
      <c r="G9" s="112"/>
      <c r="H9" s="112"/>
      <c r="I9" s="112"/>
      <c r="J9" s="112"/>
      <c r="K9" s="112"/>
      <c r="L9" s="112"/>
      <c r="M9" s="112"/>
      <c r="N9" s="112"/>
      <c r="O9" s="112"/>
      <c r="P9" s="112"/>
      <c r="Q9" s="112"/>
      <c r="R9" s="112"/>
      <c r="S9" s="112"/>
      <c r="T9" s="112"/>
      <c r="U9" s="112"/>
      <c r="V9" s="112"/>
      <c r="W9" s="112"/>
      <c r="X9" s="112"/>
      <c r="Y9" s="112"/>
      <c r="Z9" s="112"/>
    </row>
    <row r="10" spans="1:26" x14ac:dyDescent="0.45">
      <c r="A10" s="42"/>
      <c r="B10" s="42" t="s">
        <v>172</v>
      </c>
      <c r="C10" s="43" t="s">
        <v>181</v>
      </c>
      <c r="D10" s="44"/>
      <c r="E10" s="112"/>
      <c r="F10" s="112"/>
      <c r="G10" s="112"/>
      <c r="H10" s="112"/>
      <c r="I10" s="112"/>
      <c r="J10" s="112"/>
      <c r="K10" s="112"/>
      <c r="L10" s="112"/>
      <c r="M10" s="112"/>
      <c r="N10" s="112"/>
      <c r="O10" s="112"/>
      <c r="P10" s="112"/>
      <c r="Q10" s="112"/>
      <c r="R10" s="112"/>
      <c r="S10" s="112"/>
      <c r="T10" s="112"/>
      <c r="U10" s="112"/>
      <c r="V10" s="112"/>
      <c r="W10" s="112"/>
      <c r="X10" s="112"/>
      <c r="Y10" s="112"/>
      <c r="Z10" s="112"/>
    </row>
    <row r="11" spans="1:26" s="7" customFormat="1" x14ac:dyDescent="0.45">
      <c r="A11" s="45"/>
      <c r="B11" s="45" t="s">
        <v>172</v>
      </c>
      <c r="C11" s="47" t="s">
        <v>182</v>
      </c>
      <c r="D11" s="46"/>
      <c r="E11" s="86">
        <f>SUM(E5:E10)</f>
        <v>160000</v>
      </c>
      <c r="F11" s="86">
        <f t="shared" ref="F11:Y11" si="0">SUM(F5:F10)</f>
        <v>0</v>
      </c>
      <c r="G11" s="86">
        <f t="shared" si="0"/>
        <v>0</v>
      </c>
      <c r="H11" s="86">
        <f t="shared" si="0"/>
        <v>0</v>
      </c>
      <c r="I11" s="86">
        <f t="shared" si="0"/>
        <v>160000</v>
      </c>
      <c r="J11" s="86">
        <f t="shared" si="0"/>
        <v>0</v>
      </c>
      <c r="K11" s="86">
        <f t="shared" si="0"/>
        <v>0</v>
      </c>
      <c r="L11" s="86">
        <f t="shared" si="0"/>
        <v>0</v>
      </c>
      <c r="M11" s="86">
        <f t="shared" si="0"/>
        <v>0</v>
      </c>
      <c r="N11" s="86">
        <f t="shared" si="0"/>
        <v>160000</v>
      </c>
      <c r="O11" s="86">
        <f t="shared" si="0"/>
        <v>0</v>
      </c>
      <c r="P11" s="86">
        <f t="shared" si="0"/>
        <v>0</v>
      </c>
      <c r="Q11" s="86">
        <f t="shared" si="0"/>
        <v>0</v>
      </c>
      <c r="R11" s="86">
        <f t="shared" si="0"/>
        <v>0</v>
      </c>
      <c r="S11" s="86">
        <f t="shared" si="0"/>
        <v>160000</v>
      </c>
      <c r="T11" s="86">
        <f t="shared" si="0"/>
        <v>0</v>
      </c>
      <c r="U11" s="86">
        <f t="shared" si="0"/>
        <v>0</v>
      </c>
      <c r="V11" s="86">
        <f t="shared" si="0"/>
        <v>0</v>
      </c>
      <c r="W11" s="86">
        <f t="shared" si="0"/>
        <v>0</v>
      </c>
      <c r="X11" s="86">
        <f t="shared" si="0"/>
        <v>160000</v>
      </c>
      <c r="Y11" s="86">
        <f t="shared" si="0"/>
        <v>0</v>
      </c>
      <c r="Z11" s="86">
        <f>SUM(Z5:Z10)</f>
        <v>0</v>
      </c>
    </row>
    <row r="16" spans="1:26" x14ac:dyDescent="0.45">
      <c r="A16" s="18" t="s">
        <v>90</v>
      </c>
    </row>
    <row r="17" spans="1:9" x14ac:dyDescent="0.45">
      <c r="A17" s="245"/>
      <c r="B17" s="245"/>
      <c r="C17" s="245"/>
      <c r="D17" s="245"/>
      <c r="E17" s="245"/>
      <c r="F17" s="245"/>
      <c r="G17" s="245"/>
      <c r="H17" s="245"/>
      <c r="I17" s="245"/>
    </row>
  </sheetData>
  <mergeCells count="2">
    <mergeCell ref="A1:X1"/>
    <mergeCell ref="A17:I17"/>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83542-F54D-4925-BF6C-56592B5B5839}">
  <dimension ref="A1:AA17"/>
  <sheetViews>
    <sheetView topLeftCell="L1" workbookViewId="0">
      <selection activeCell="AA8" sqref="AA8"/>
    </sheetView>
  </sheetViews>
  <sheetFormatPr defaultRowHeight="14.25" x14ac:dyDescent="0.45"/>
  <cols>
    <col min="1" max="1" width="15" customWidth="1"/>
    <col min="2" max="2" width="12" customWidth="1"/>
    <col min="3" max="3" width="35" customWidth="1"/>
    <col min="4" max="4" width="20" customWidth="1"/>
    <col min="5" max="26" width="11" customWidth="1"/>
    <col min="27" max="27" width="10.6640625" bestFit="1" customWidth="1"/>
  </cols>
  <sheetData>
    <row r="1" spans="1:27" x14ac:dyDescent="0.45">
      <c r="A1" s="233" t="s">
        <v>207</v>
      </c>
      <c r="B1" s="234"/>
      <c r="C1" s="234"/>
      <c r="D1" s="234"/>
      <c r="E1" s="234"/>
      <c r="F1" s="234"/>
      <c r="G1" s="234"/>
      <c r="H1" s="234"/>
      <c r="I1" s="234"/>
      <c r="J1" s="234"/>
      <c r="K1" s="234"/>
      <c r="L1" s="234"/>
      <c r="M1" s="234"/>
      <c r="N1" s="234"/>
      <c r="O1" s="234"/>
      <c r="P1" s="234"/>
      <c r="Q1" s="234"/>
      <c r="R1" s="234"/>
      <c r="S1" s="234"/>
      <c r="T1" s="234"/>
      <c r="U1" s="234"/>
      <c r="V1" s="234"/>
      <c r="W1" s="234"/>
      <c r="X1" s="235"/>
    </row>
    <row r="4" spans="1:27" x14ac:dyDescent="0.45">
      <c r="A4" s="1" t="s">
        <v>87</v>
      </c>
      <c r="B4" s="1" t="s">
        <v>88</v>
      </c>
      <c r="C4" s="1" t="s">
        <v>170</v>
      </c>
      <c r="D4" s="1" t="s">
        <v>90</v>
      </c>
      <c r="E4" s="64" t="s">
        <v>91</v>
      </c>
      <c r="F4" s="64" t="s">
        <v>92</v>
      </c>
      <c r="G4" s="64" t="s">
        <v>93</v>
      </c>
      <c r="H4" s="64" t="s">
        <v>94</v>
      </c>
      <c r="I4" s="64" t="s">
        <v>95</v>
      </c>
      <c r="J4" s="64" t="s">
        <v>96</v>
      </c>
      <c r="K4" s="64" t="s">
        <v>97</v>
      </c>
      <c r="L4" s="64" t="s">
        <v>98</v>
      </c>
      <c r="M4" s="64" t="s">
        <v>99</v>
      </c>
      <c r="N4" s="64" t="s">
        <v>100</v>
      </c>
      <c r="O4" s="64" t="s">
        <v>101</v>
      </c>
      <c r="P4" s="64" t="s">
        <v>102</v>
      </c>
      <c r="Q4" s="64" t="s">
        <v>103</v>
      </c>
      <c r="R4" s="64" t="s">
        <v>104</v>
      </c>
      <c r="S4" s="64" t="s">
        <v>105</v>
      </c>
      <c r="T4" s="64" t="s">
        <v>106</v>
      </c>
      <c r="U4" s="64" t="s">
        <v>107</v>
      </c>
      <c r="V4" s="64" t="s">
        <v>108</v>
      </c>
      <c r="W4" s="64" t="s">
        <v>109</v>
      </c>
      <c r="X4" s="64" t="s">
        <v>110</v>
      </c>
      <c r="Y4" s="64" t="s">
        <v>193</v>
      </c>
      <c r="Z4" s="64" t="s">
        <v>194</v>
      </c>
      <c r="AA4" s="180" t="s">
        <v>208</v>
      </c>
    </row>
    <row r="5" spans="1:27" ht="15.75" x14ac:dyDescent="0.55000000000000004">
      <c r="A5" t="s">
        <v>209</v>
      </c>
      <c r="B5" t="s">
        <v>210</v>
      </c>
      <c r="C5" t="s">
        <v>211</v>
      </c>
      <c r="D5" t="s">
        <v>212</v>
      </c>
      <c r="E5" s="108">
        <f>Eq30_Carbon_removals!E11</f>
        <v>15022.679232000017</v>
      </c>
      <c r="F5" s="108">
        <f>Eq30_Carbon_removals!F11</f>
        <v>54135.681600000062</v>
      </c>
      <c r="G5" s="108">
        <f>Eq30_Carbon_removals!G11</f>
        <v>125925.11500800012</v>
      </c>
      <c r="H5" s="108">
        <f>Eq30_Carbon_removals!H11</f>
        <v>156117.98400000017</v>
      </c>
      <c r="I5" s="108">
        <f>Eq30_Carbon_removals!I11</f>
        <v>213866.99136000022</v>
      </c>
      <c r="J5" s="108">
        <f>Eq30_Carbon_removals!J11</f>
        <v>199763.20320000011</v>
      </c>
      <c r="K5" s="108">
        <f>Eq30_Carbon_removals!K11</f>
        <v>258373.35744000005</v>
      </c>
      <c r="L5" s="108">
        <f>Eq30_Carbon_removals!L11</f>
        <v>293713.68576000072</v>
      </c>
      <c r="M5" s="108">
        <f>Eq30_Carbon_removals!M11</f>
        <v>185806.68479999993</v>
      </c>
      <c r="N5" s="108">
        <f>Eq30_Carbon_removals!N11</f>
        <v>184863.67680000025</v>
      </c>
      <c r="O5" s="108">
        <f>Eq30_Carbon_removals!O11</f>
        <v>225413.02080000029</v>
      </c>
      <c r="P5" s="108">
        <f>Eq30_Carbon_removals!P11</f>
        <v>189390.11520000035</v>
      </c>
      <c r="Q5" s="108">
        <f>Eq30_Carbon_removals!Q11</f>
        <v>189767.31840000022</v>
      </c>
      <c r="R5" s="108">
        <f>Eq30_Carbon_removals!R11</f>
        <v>189390.11519999988</v>
      </c>
      <c r="S5" s="108">
        <f>Eq30_Carbon_removals!S11</f>
        <v>189767.31840000069</v>
      </c>
      <c r="T5" s="108">
        <f>Eq30_Carbon_removals!T11</f>
        <v>189390.11520000035</v>
      </c>
      <c r="U5" s="108">
        <f>Eq30_Carbon_removals!U11</f>
        <v>115616.3923200001</v>
      </c>
      <c r="V5" s="108">
        <f>Eq30_Carbon_removals!V11</f>
        <v>78163.726079999935</v>
      </c>
      <c r="W5" s="108">
        <f>Eq30_Carbon_removals!W11</f>
        <v>78540.929279999807</v>
      </c>
      <c r="X5" s="108">
        <f>Eq30_Carbon_removals!X11</f>
        <v>78540.929280000273</v>
      </c>
      <c r="Y5" s="41"/>
      <c r="Z5" s="41"/>
    </row>
    <row r="6" spans="1:27" ht="15.75" x14ac:dyDescent="0.55000000000000004">
      <c r="B6" t="s">
        <v>210</v>
      </c>
      <c r="C6" t="s">
        <v>213</v>
      </c>
      <c r="E6" s="41"/>
      <c r="F6" s="41"/>
      <c r="G6" s="98">
        <f>E5</f>
        <v>15022.679232000017</v>
      </c>
      <c r="H6" s="98">
        <f t="shared" ref="H6:Z6" si="0">F5</f>
        <v>54135.681600000062</v>
      </c>
      <c r="I6" s="98">
        <f t="shared" si="0"/>
        <v>125925.11500800012</v>
      </c>
      <c r="J6" s="98">
        <f t="shared" si="0"/>
        <v>156117.98400000017</v>
      </c>
      <c r="K6" s="98">
        <f t="shared" si="0"/>
        <v>213866.99136000022</v>
      </c>
      <c r="L6" s="98">
        <f t="shared" si="0"/>
        <v>199763.20320000011</v>
      </c>
      <c r="M6" s="98">
        <f t="shared" si="0"/>
        <v>258373.35744000005</v>
      </c>
      <c r="N6" s="98">
        <f t="shared" si="0"/>
        <v>293713.68576000072</v>
      </c>
      <c r="O6" s="98">
        <f t="shared" si="0"/>
        <v>185806.68479999993</v>
      </c>
      <c r="P6" s="98">
        <f t="shared" si="0"/>
        <v>184863.67680000025</v>
      </c>
      <c r="Q6" s="98">
        <f t="shared" si="0"/>
        <v>225413.02080000029</v>
      </c>
      <c r="R6" s="98">
        <f t="shared" si="0"/>
        <v>189390.11520000035</v>
      </c>
      <c r="S6" s="98">
        <f t="shared" si="0"/>
        <v>189767.31840000022</v>
      </c>
      <c r="T6" s="98">
        <f t="shared" si="0"/>
        <v>189390.11519999988</v>
      </c>
      <c r="U6" s="98">
        <f t="shared" si="0"/>
        <v>189767.31840000069</v>
      </c>
      <c r="V6" s="98">
        <f t="shared" si="0"/>
        <v>189390.11520000035</v>
      </c>
      <c r="W6" s="98">
        <f t="shared" si="0"/>
        <v>115616.3923200001</v>
      </c>
      <c r="X6" s="98">
        <f t="shared" si="0"/>
        <v>78163.726079999935</v>
      </c>
      <c r="Y6" s="98">
        <f t="shared" si="0"/>
        <v>78540.929279999807</v>
      </c>
      <c r="Z6" s="98">
        <f t="shared" si="0"/>
        <v>78540.929280000273</v>
      </c>
    </row>
    <row r="7" spans="1:27" ht="15.75" x14ac:dyDescent="0.55000000000000004">
      <c r="A7" s="42"/>
      <c r="B7" s="42" t="s">
        <v>172</v>
      </c>
      <c r="C7" s="42" t="s">
        <v>214</v>
      </c>
      <c r="D7" s="44"/>
      <c r="E7" s="109"/>
      <c r="F7" s="109"/>
      <c r="G7" s="109">
        <f>Assumptions!B11</f>
        <v>10</v>
      </c>
      <c r="H7" s="109">
        <f>G7*(1+Assumptions!$B12)</f>
        <v>10.5</v>
      </c>
      <c r="I7" s="109">
        <f>H7*(1+Assumptions!$B12)</f>
        <v>11.025</v>
      </c>
      <c r="J7" s="109">
        <f>I7*(1+Assumptions!$B12)</f>
        <v>11.576250000000002</v>
      </c>
      <c r="K7" s="109">
        <f>J7*(1+Assumptions!$B12)</f>
        <v>12.155062500000001</v>
      </c>
      <c r="L7" s="109">
        <f>K7*(1+Assumptions!$B12)</f>
        <v>12.762815625000002</v>
      </c>
      <c r="M7" s="109">
        <f>L7*(1+Assumptions!$B12)</f>
        <v>13.400956406250003</v>
      </c>
      <c r="N7" s="109">
        <f>M7*(1+Assumptions!$B12)</f>
        <v>14.071004226562504</v>
      </c>
      <c r="O7" s="109">
        <f>N7*(1+Assumptions!$B12)</f>
        <v>14.774554437890631</v>
      </c>
      <c r="P7" s="109">
        <f>O7*(1+Assumptions!$B12)</f>
        <v>15.513282159785163</v>
      </c>
      <c r="Q7" s="109">
        <f>P7*(1+Assumptions!$B12)</f>
        <v>16.288946267774421</v>
      </c>
      <c r="R7" s="109">
        <f>Q7*(1+Assumptions!$B12)</f>
        <v>17.103393581163143</v>
      </c>
      <c r="S7" s="109">
        <f>R7*(1+Assumptions!$B12)</f>
        <v>17.9585632602213</v>
      </c>
      <c r="T7" s="109">
        <f>S7*(1+Assumptions!$B12)</f>
        <v>18.856491423232367</v>
      </c>
      <c r="U7" s="109">
        <f>T7*(1+Assumptions!$B12)</f>
        <v>19.799315994393986</v>
      </c>
      <c r="V7" s="109">
        <f>U7*(1+Assumptions!$B12)</f>
        <v>20.789281794113688</v>
      </c>
      <c r="W7" s="109">
        <f>V7*(1+Assumptions!$B12)</f>
        <v>21.828745883819373</v>
      </c>
      <c r="X7" s="109">
        <f>W7*(1+Assumptions!$B12)</f>
        <v>22.920183178010344</v>
      </c>
      <c r="Y7" s="109">
        <f>X7*(1+Assumptions!$B12)</f>
        <v>24.066192336910863</v>
      </c>
      <c r="Z7" s="109">
        <f>Y7*(1+Assumptions!$B12)</f>
        <v>25.269501953756407</v>
      </c>
    </row>
    <row r="8" spans="1:27" s="7" customFormat="1" x14ac:dyDescent="0.45">
      <c r="A8" s="45"/>
      <c r="B8" s="45" t="s">
        <v>172</v>
      </c>
      <c r="C8" s="45" t="s">
        <v>215</v>
      </c>
      <c r="D8" s="46"/>
      <c r="E8" s="86"/>
      <c r="F8" s="86"/>
      <c r="G8" s="86">
        <f>G7*G6</f>
        <v>150226.79232000018</v>
      </c>
      <c r="H8" s="86">
        <f t="shared" ref="H8:Z8" si="1">H7*H6</f>
        <v>568424.6568000007</v>
      </c>
      <c r="I8" s="86">
        <f t="shared" si="1"/>
        <v>1388324.3929632015</v>
      </c>
      <c r="J8" s="86">
        <f t="shared" si="1"/>
        <v>1807260.8122800023</v>
      </c>
      <c r="K8" s="86">
        <f>K7*K6</f>
        <v>2599566.6466677631</v>
      </c>
      <c r="L8" s="86">
        <f t="shared" si="1"/>
        <v>2549540.9311010116</v>
      </c>
      <c r="M8" s="86">
        <f t="shared" si="1"/>
        <v>3462450.0995898908</v>
      </c>
      <c r="N8" s="86">
        <f t="shared" si="1"/>
        <v>4132846.5137282214</v>
      </c>
      <c r="O8" s="86">
        <f t="shared" si="1"/>
        <v>2745210.9795015845</v>
      </c>
      <c r="P8" s="86">
        <f t="shared" si="1"/>
        <v>2867842.3792937342</v>
      </c>
      <c r="Q8" s="86">
        <f t="shared" si="1"/>
        <v>3671740.5838679224</v>
      </c>
      <c r="R8" s="86">
        <f t="shared" si="1"/>
        <v>3239213.6806474342</v>
      </c>
      <c r="S8" s="86">
        <f t="shared" si="1"/>
        <v>3407948.3922089618</v>
      </c>
      <c r="T8" s="86">
        <f t="shared" si="1"/>
        <v>3571233.0829137876</v>
      </c>
      <c r="U8" s="86">
        <f t="shared" si="1"/>
        <v>3757263.1024103896</v>
      </c>
      <c r="V8" s="86">
        <f t="shared" si="1"/>
        <v>3937284.4739124612</v>
      </c>
      <c r="W8" s="86">
        <f t="shared" si="1"/>
        <v>2523760.8479572479</v>
      </c>
      <c r="X8" s="86">
        <f t="shared" si="1"/>
        <v>1791526.9196294229</v>
      </c>
      <c r="Y8" s="86">
        <f t="shared" si="1"/>
        <v>1890181.1103721894</v>
      </c>
      <c r="Z8" s="86">
        <f t="shared" si="1"/>
        <v>1984690.1658908108</v>
      </c>
      <c r="AA8" s="121">
        <f>SUM(G8:Z8)</f>
        <v>52046536.564056039</v>
      </c>
    </row>
    <row r="16" spans="1:27" x14ac:dyDescent="0.45">
      <c r="A16" s="18" t="s">
        <v>90</v>
      </c>
    </row>
    <row r="17" spans="1:9" x14ac:dyDescent="0.45">
      <c r="A17" s="245"/>
      <c r="B17" s="245"/>
      <c r="C17" s="245"/>
      <c r="D17" s="245"/>
      <c r="E17" s="245"/>
      <c r="F17" s="245"/>
      <c r="G17" s="245"/>
      <c r="H17" s="245"/>
      <c r="I17" s="245"/>
    </row>
  </sheetData>
  <mergeCells count="2">
    <mergeCell ref="A1:X1"/>
    <mergeCell ref="A17:I17"/>
  </mergeCells>
  <phoneticPr fontId="8" type="noConversion"/>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39A3D3-87C6-44D4-A682-9E0C6597426D}">
  <dimension ref="A1:X18"/>
  <sheetViews>
    <sheetView topLeftCell="B1" workbookViewId="0">
      <selection activeCell="E8" sqref="E8"/>
    </sheetView>
  </sheetViews>
  <sheetFormatPr defaultRowHeight="14.25" x14ac:dyDescent="0.45"/>
  <cols>
    <col min="1" max="1" width="15" customWidth="1"/>
    <col min="2" max="2" width="12" customWidth="1"/>
    <col min="3" max="3" width="35" customWidth="1"/>
    <col min="4" max="4" width="20" customWidth="1"/>
    <col min="5" max="26" width="11" customWidth="1"/>
  </cols>
  <sheetData>
    <row r="1" spans="1:24" x14ac:dyDescent="0.45">
      <c r="A1" s="233" t="s">
        <v>216</v>
      </c>
      <c r="B1" s="234"/>
      <c r="C1" s="234"/>
      <c r="D1" s="234"/>
      <c r="E1" s="234"/>
      <c r="F1" s="234"/>
      <c r="G1" s="234"/>
      <c r="H1" s="234"/>
      <c r="I1" s="234"/>
      <c r="J1" s="234"/>
      <c r="K1" s="234"/>
      <c r="L1" s="234"/>
      <c r="M1" s="234"/>
      <c r="N1" s="234"/>
      <c r="O1" s="234"/>
      <c r="P1" s="234"/>
      <c r="Q1" s="234"/>
      <c r="R1" s="234"/>
      <c r="S1" s="234"/>
      <c r="T1" s="234"/>
      <c r="U1" s="234"/>
      <c r="V1" s="234"/>
      <c r="W1" s="234"/>
      <c r="X1" s="235"/>
    </row>
    <row r="4" spans="1:24" x14ac:dyDescent="0.45">
      <c r="A4" s="1" t="s">
        <v>87</v>
      </c>
      <c r="B4" s="1" t="s">
        <v>88</v>
      </c>
      <c r="C4" s="129" t="s">
        <v>170</v>
      </c>
      <c r="D4" s="181" t="s">
        <v>217</v>
      </c>
      <c r="E4" s="1" t="s">
        <v>91</v>
      </c>
      <c r="F4" s="1" t="s">
        <v>92</v>
      </c>
      <c r="G4" s="1" t="s">
        <v>93</v>
      </c>
      <c r="H4" s="1" t="s">
        <v>94</v>
      </c>
      <c r="I4" s="1" t="s">
        <v>95</v>
      </c>
      <c r="J4" s="1" t="s">
        <v>96</v>
      </c>
      <c r="K4" s="1" t="s">
        <v>97</v>
      </c>
      <c r="L4" s="1" t="s">
        <v>98</v>
      </c>
      <c r="M4" s="1" t="s">
        <v>99</v>
      </c>
      <c r="N4" s="1" t="s">
        <v>100</v>
      </c>
      <c r="O4" s="1" t="s">
        <v>101</v>
      </c>
      <c r="P4" s="1" t="s">
        <v>102</v>
      </c>
      <c r="Q4" s="1" t="s">
        <v>103</v>
      </c>
      <c r="R4" s="1" t="s">
        <v>104</v>
      </c>
      <c r="S4" s="1" t="s">
        <v>105</v>
      </c>
      <c r="T4" s="1" t="s">
        <v>106</v>
      </c>
      <c r="U4" s="1" t="s">
        <v>107</v>
      </c>
      <c r="V4" s="1" t="s">
        <v>108</v>
      </c>
      <c r="W4" s="1" t="s">
        <v>109</v>
      </c>
      <c r="X4" s="1" t="s">
        <v>110</v>
      </c>
    </row>
    <row r="5" spans="1:24" x14ac:dyDescent="0.45">
      <c r="B5" t="s">
        <v>218</v>
      </c>
      <c r="C5" t="s">
        <v>219</v>
      </c>
      <c r="D5" s="17"/>
      <c r="E5" s="130">
        <f>Assumptions!E7</f>
        <v>500</v>
      </c>
      <c r="F5" s="60">
        <f>E5+Assumptions!F7</f>
        <v>1000</v>
      </c>
      <c r="G5" s="60">
        <f>F5+Assumptions!G7</f>
        <v>1000</v>
      </c>
      <c r="H5" s="60">
        <f>G5+Assumptions!H7</f>
        <v>1000</v>
      </c>
      <c r="I5" s="60">
        <f>H5+Assumptions!I7</f>
        <v>1000</v>
      </c>
      <c r="J5" s="60">
        <f>I5+Assumptions!J7</f>
        <v>1000</v>
      </c>
      <c r="K5" s="60">
        <f>J5+Assumptions!K7</f>
        <v>1000</v>
      </c>
      <c r="L5" s="60">
        <f>K5+Assumptions!L7</f>
        <v>1000</v>
      </c>
      <c r="M5" s="60">
        <f>L5+Assumptions!M7</f>
        <v>1000</v>
      </c>
      <c r="N5" s="60">
        <f>M5+Assumptions!N7</f>
        <v>1000</v>
      </c>
      <c r="O5" s="60">
        <f>N5+Assumptions!O7</f>
        <v>1000</v>
      </c>
      <c r="P5" s="60">
        <f>O5+Assumptions!P7</f>
        <v>1000</v>
      </c>
      <c r="Q5" s="60">
        <f>P5+Assumptions!Q7</f>
        <v>1000</v>
      </c>
      <c r="R5" s="60">
        <f>Q5+Assumptions!R7</f>
        <v>1000</v>
      </c>
      <c r="S5" s="60">
        <f>R5+Assumptions!S7</f>
        <v>1000</v>
      </c>
      <c r="T5" s="60">
        <f>S5+Assumptions!T7</f>
        <v>1000</v>
      </c>
      <c r="U5" s="60">
        <f>T5+Assumptions!U7</f>
        <v>1000</v>
      </c>
      <c r="V5" s="60">
        <f>U5+Assumptions!V7</f>
        <v>1000</v>
      </c>
      <c r="W5" s="60">
        <f>V5+Assumptions!W7</f>
        <v>1000</v>
      </c>
      <c r="X5" s="60">
        <f>W5+Assumptions!X7</f>
        <v>1000</v>
      </c>
    </row>
    <row r="6" spans="1:24" x14ac:dyDescent="0.45">
      <c r="B6" t="s">
        <v>220</v>
      </c>
      <c r="C6" t="s">
        <v>221</v>
      </c>
      <c r="D6" s="17"/>
      <c r="E6" s="130">
        <f>Assumptions!E8</f>
        <v>2000</v>
      </c>
      <c r="F6" s="60">
        <f>Assumptions!F8</f>
        <v>4000</v>
      </c>
      <c r="G6" s="60">
        <f>Assumptions!G8</f>
        <v>4000</v>
      </c>
      <c r="H6" s="60">
        <f>Assumptions!H8</f>
        <v>4000</v>
      </c>
      <c r="I6" s="60">
        <f>Assumptions!I8</f>
        <v>4000</v>
      </c>
      <c r="J6" s="60">
        <f>Assumptions!J8</f>
        <v>4000</v>
      </c>
      <c r="K6" s="60">
        <f>Assumptions!K8</f>
        <v>4000</v>
      </c>
      <c r="L6" s="60">
        <f>Assumptions!L8</f>
        <v>4000</v>
      </c>
      <c r="M6" s="60">
        <f>Assumptions!M8</f>
        <v>4000</v>
      </c>
      <c r="N6" s="60">
        <f>Assumptions!N8</f>
        <v>4000</v>
      </c>
      <c r="O6" s="60">
        <f>Assumptions!O8</f>
        <v>4000</v>
      </c>
      <c r="P6" s="60">
        <f>Assumptions!P8</f>
        <v>4000</v>
      </c>
      <c r="Q6" s="60">
        <f>Assumptions!Q8</f>
        <v>4000</v>
      </c>
      <c r="R6" s="60">
        <f>Assumptions!R8</f>
        <v>4000</v>
      </c>
      <c r="S6" s="60">
        <f>Assumptions!S8</f>
        <v>4000</v>
      </c>
      <c r="T6" s="60">
        <f>Assumptions!T8</f>
        <v>4000</v>
      </c>
      <c r="U6" s="60">
        <f>Assumptions!U8</f>
        <v>4000</v>
      </c>
      <c r="V6" s="60">
        <f>Assumptions!V8</f>
        <v>4000</v>
      </c>
      <c r="W6" s="60">
        <f>Assumptions!W8</f>
        <v>4000</v>
      </c>
      <c r="X6" s="60">
        <f>Assumptions!X8</f>
        <v>4000</v>
      </c>
    </row>
    <row r="7" spans="1:24" x14ac:dyDescent="0.45">
      <c r="B7" t="s">
        <v>222</v>
      </c>
      <c r="C7" t="s">
        <v>223</v>
      </c>
      <c r="D7" s="17"/>
      <c r="E7" s="130">
        <f>E6*Assumptions!$B17</f>
        <v>1000000</v>
      </c>
      <c r="F7" s="60">
        <f>F6*Assumptions!$B17</f>
        <v>2000000</v>
      </c>
      <c r="G7" s="60">
        <f>G6*Assumptions!$B17</f>
        <v>2000000</v>
      </c>
      <c r="H7" s="60">
        <f>H6*Assumptions!$B17</f>
        <v>2000000</v>
      </c>
      <c r="I7" s="60">
        <f>I6*Assumptions!$B17</f>
        <v>2000000</v>
      </c>
      <c r="J7" s="60">
        <f>J6*Assumptions!$B17</f>
        <v>2000000</v>
      </c>
      <c r="K7" s="60">
        <f>K6*Assumptions!$B17</f>
        <v>2000000</v>
      </c>
      <c r="L7" s="60">
        <f>L6*Assumptions!$B17</f>
        <v>2000000</v>
      </c>
      <c r="M7" s="60">
        <f>M6*Assumptions!$B17</f>
        <v>2000000</v>
      </c>
      <c r="N7" s="60">
        <f>N6*Assumptions!$B17</f>
        <v>2000000</v>
      </c>
      <c r="O7" s="60">
        <f>O6*Assumptions!$B17</f>
        <v>2000000</v>
      </c>
      <c r="P7" s="60">
        <f>P6*Assumptions!$B17</f>
        <v>2000000</v>
      </c>
      <c r="Q7" s="60">
        <f>Q6*Assumptions!$B17</f>
        <v>2000000</v>
      </c>
      <c r="R7" s="60">
        <f>R6*Assumptions!$B17</f>
        <v>2000000</v>
      </c>
      <c r="S7" s="60">
        <f>S6*Assumptions!$B17</f>
        <v>2000000</v>
      </c>
      <c r="T7" s="60">
        <f>T6*Assumptions!$B17</f>
        <v>2000000</v>
      </c>
      <c r="U7" s="60">
        <f>U6*Assumptions!$B17</f>
        <v>2000000</v>
      </c>
      <c r="V7" s="60">
        <f>V6*Assumptions!$B17</f>
        <v>2000000</v>
      </c>
      <c r="W7" s="60">
        <f>W6*Assumptions!$B17</f>
        <v>2000000</v>
      </c>
      <c r="X7" s="60">
        <f>X6*Assumptions!$B17</f>
        <v>2000000</v>
      </c>
    </row>
    <row r="8" spans="1:24" x14ac:dyDescent="0.45">
      <c r="B8" t="s">
        <v>220</v>
      </c>
      <c r="C8" t="s">
        <v>224</v>
      </c>
      <c r="D8" s="17"/>
      <c r="E8" s="130">
        <f>E6*Assumptions!$B23</f>
        <v>20000</v>
      </c>
      <c r="F8" s="60">
        <f>F6*Assumptions!$B23</f>
        <v>40000</v>
      </c>
      <c r="G8" s="60">
        <f>G6*Assumptions!$B23</f>
        <v>40000</v>
      </c>
      <c r="H8" s="60">
        <f>H6*Assumptions!$B23</f>
        <v>40000</v>
      </c>
      <c r="I8" s="60">
        <f>I6*Assumptions!$B23</f>
        <v>40000</v>
      </c>
      <c r="J8" s="60">
        <f>J6*Assumptions!$B23</f>
        <v>40000</v>
      </c>
      <c r="K8" s="60">
        <f>K6*Assumptions!$B23</f>
        <v>40000</v>
      </c>
      <c r="L8" s="60">
        <f>L6*Assumptions!$B23</f>
        <v>40000</v>
      </c>
      <c r="M8" s="60">
        <f>M6*Assumptions!$B23</f>
        <v>40000</v>
      </c>
      <c r="N8" s="60">
        <f>N6*Assumptions!$B23</f>
        <v>40000</v>
      </c>
      <c r="O8" s="60">
        <f>O6*Assumptions!$B23</f>
        <v>40000</v>
      </c>
      <c r="P8" s="60">
        <f>P6*Assumptions!$B23</f>
        <v>40000</v>
      </c>
      <c r="Q8" s="60">
        <f>Q6*Assumptions!$B23</f>
        <v>40000</v>
      </c>
      <c r="R8" s="60">
        <f>R6*Assumptions!$B23</f>
        <v>40000</v>
      </c>
      <c r="S8" s="60">
        <f>S6*Assumptions!$B23</f>
        <v>40000</v>
      </c>
      <c r="T8" s="60">
        <f>T6*Assumptions!$B23</f>
        <v>40000</v>
      </c>
      <c r="U8" s="60">
        <f>U6*Assumptions!$B23</f>
        <v>40000</v>
      </c>
      <c r="V8" s="60">
        <f>V6*Assumptions!$B23</f>
        <v>40000</v>
      </c>
      <c r="W8" s="60">
        <f>W6*Assumptions!$B23</f>
        <v>40000</v>
      </c>
      <c r="X8" s="60">
        <f>X6*Assumptions!$B23</f>
        <v>40000</v>
      </c>
    </row>
    <row r="9" spans="1:24" ht="15.75" x14ac:dyDescent="0.55000000000000004">
      <c r="B9" t="s">
        <v>210</v>
      </c>
      <c r="C9" t="s">
        <v>225</v>
      </c>
      <c r="D9" s="17"/>
      <c r="E9" s="130">
        <f>Eq34_Annualized!E8</f>
        <v>15022.679232000017</v>
      </c>
      <c r="F9" s="60">
        <f>Eq34_Annualized!F8</f>
        <v>54135.681600000062</v>
      </c>
      <c r="G9" s="60">
        <f>Eq34_Annualized!G8</f>
        <v>125925.11500800012</v>
      </c>
      <c r="H9" s="60">
        <f>Eq34_Annualized!H8</f>
        <v>156117.98400000017</v>
      </c>
      <c r="I9" s="60">
        <f>Eq34_Annualized!I8</f>
        <v>213866.99136000022</v>
      </c>
      <c r="J9" s="60">
        <f>Eq34_Annualized!J8</f>
        <v>199763.20320000011</v>
      </c>
      <c r="K9" s="60">
        <f>Eq34_Annualized!K8</f>
        <v>258373.35744000005</v>
      </c>
      <c r="L9" s="60">
        <f>Eq34_Annualized!L8</f>
        <v>293713.68576000072</v>
      </c>
      <c r="M9" s="60">
        <f>Eq34_Annualized!M8</f>
        <v>185806.68479999993</v>
      </c>
      <c r="N9" s="60">
        <f>Eq34_Annualized!N8</f>
        <v>184863.67680000025</v>
      </c>
      <c r="O9" s="60">
        <f>Eq34_Annualized!O8</f>
        <v>225413.02080000029</v>
      </c>
      <c r="P9" s="60">
        <f>Eq34_Annualized!P8</f>
        <v>189390.11520000035</v>
      </c>
      <c r="Q9" s="60">
        <f>Eq34_Annualized!Q8</f>
        <v>189767.31840000022</v>
      </c>
      <c r="R9" s="60">
        <f>Eq34_Annualized!R8</f>
        <v>189390.11519999988</v>
      </c>
      <c r="S9" s="60">
        <f>Eq34_Annualized!S8</f>
        <v>189767.31840000069</v>
      </c>
      <c r="T9" s="60">
        <f>Eq34_Annualized!T8</f>
        <v>189390.11520000035</v>
      </c>
      <c r="U9" s="60">
        <f>Eq34_Annualized!U8</f>
        <v>115616.3923200001</v>
      </c>
      <c r="V9" s="60">
        <f>Eq34_Annualized!V8</f>
        <v>78163.726079999935</v>
      </c>
      <c r="W9" s="60">
        <f>Eq34_Annualized!W8</f>
        <v>78540.929279999807</v>
      </c>
      <c r="X9" s="60">
        <f>Eq34_Annualized!X8</f>
        <v>78540.929280000273</v>
      </c>
    </row>
    <row r="10" spans="1:24" ht="15.75" x14ac:dyDescent="0.55000000000000004">
      <c r="B10" t="s">
        <v>226</v>
      </c>
      <c r="C10" t="s">
        <v>227</v>
      </c>
      <c r="D10" s="128">
        <f>AVERAGE(E10:X10)</f>
        <v>40.33239648240005</v>
      </c>
      <c r="E10" s="131">
        <f t="shared" ref="E10:X10" si="0">E9/E6</f>
        <v>7.5113396160000088</v>
      </c>
      <c r="F10" s="128">
        <f t="shared" si="0"/>
        <v>13.533920400000016</v>
      </c>
      <c r="G10" s="128">
        <f t="shared" si="0"/>
        <v>31.48127875200003</v>
      </c>
      <c r="H10" s="128">
        <f t="shared" si="0"/>
        <v>39.029496000000044</v>
      </c>
      <c r="I10" s="128">
        <f t="shared" si="0"/>
        <v>53.466747840000053</v>
      </c>
      <c r="J10" s="128">
        <f t="shared" si="0"/>
        <v>49.940800800000027</v>
      </c>
      <c r="K10" s="128">
        <f t="shared" si="0"/>
        <v>64.593339360000016</v>
      </c>
      <c r="L10" s="128">
        <f t="shared" si="0"/>
        <v>73.428421440000179</v>
      </c>
      <c r="M10" s="128">
        <f t="shared" si="0"/>
        <v>46.451671199999986</v>
      </c>
      <c r="N10" s="128">
        <f t="shared" si="0"/>
        <v>46.215919200000059</v>
      </c>
      <c r="O10" s="128">
        <f t="shared" si="0"/>
        <v>56.353255200000071</v>
      </c>
      <c r="P10" s="128">
        <f t="shared" si="0"/>
        <v>47.347528800000084</v>
      </c>
      <c r="Q10" s="128">
        <f t="shared" si="0"/>
        <v>47.441829600000055</v>
      </c>
      <c r="R10" s="128">
        <f t="shared" si="0"/>
        <v>47.347528799999971</v>
      </c>
      <c r="S10" s="128">
        <f t="shared" si="0"/>
        <v>47.441829600000169</v>
      </c>
      <c r="T10" s="128">
        <f t="shared" si="0"/>
        <v>47.347528800000084</v>
      </c>
      <c r="U10" s="128">
        <f t="shared" si="0"/>
        <v>28.904098080000026</v>
      </c>
      <c r="V10" s="128">
        <f t="shared" si="0"/>
        <v>19.540931519999983</v>
      </c>
      <c r="W10" s="128">
        <f t="shared" si="0"/>
        <v>19.63523231999995</v>
      </c>
      <c r="X10" s="128">
        <f t="shared" si="0"/>
        <v>19.635232320000068</v>
      </c>
    </row>
    <row r="11" spans="1:24" x14ac:dyDescent="0.45">
      <c r="B11" t="s">
        <v>228</v>
      </c>
      <c r="C11" t="s">
        <v>229</v>
      </c>
      <c r="D11" s="17"/>
      <c r="E11" s="2"/>
      <c r="F11" s="17"/>
      <c r="G11" s="17"/>
      <c r="H11" s="17"/>
      <c r="I11" s="17"/>
      <c r="J11" s="17"/>
      <c r="K11" s="17"/>
      <c r="L11" s="17"/>
      <c r="M11" s="17"/>
      <c r="N11" s="17"/>
      <c r="O11" s="17"/>
      <c r="P11" s="17"/>
      <c r="Q11" s="17"/>
      <c r="R11" s="17"/>
      <c r="S11" s="17"/>
      <c r="T11" s="17"/>
      <c r="U11" s="17"/>
      <c r="V11" s="17"/>
      <c r="W11" s="17"/>
      <c r="X11" s="17"/>
    </row>
    <row r="12" spans="1:24" x14ac:dyDescent="0.45">
      <c r="C12" t="s">
        <v>180</v>
      </c>
      <c r="D12" s="17"/>
      <c r="E12" s="2"/>
      <c r="F12" s="17"/>
      <c r="G12" s="17"/>
      <c r="H12" s="17"/>
      <c r="I12" s="17"/>
      <c r="J12" s="17"/>
      <c r="K12" s="17"/>
      <c r="L12" s="17"/>
      <c r="M12" s="17"/>
      <c r="N12" s="17"/>
      <c r="O12" s="17"/>
      <c r="P12" s="17"/>
      <c r="Q12" s="17"/>
      <c r="R12" s="17"/>
      <c r="S12" s="17"/>
      <c r="T12" s="17"/>
      <c r="U12" s="17"/>
      <c r="V12" s="17"/>
      <c r="W12" s="17"/>
      <c r="X12" s="17"/>
    </row>
    <row r="13" spans="1:24" x14ac:dyDescent="0.45">
      <c r="C13" t="s">
        <v>180</v>
      </c>
      <c r="D13" s="17"/>
      <c r="E13" s="2"/>
      <c r="F13" s="17"/>
      <c r="G13" s="17"/>
      <c r="H13" s="17"/>
      <c r="I13" s="17"/>
      <c r="J13" s="17"/>
      <c r="K13" s="17"/>
      <c r="L13" s="17"/>
      <c r="M13" s="17"/>
      <c r="N13" s="17"/>
      <c r="O13" s="17"/>
      <c r="P13" s="17"/>
      <c r="Q13" s="17"/>
      <c r="R13" s="17"/>
      <c r="S13" s="17"/>
      <c r="T13" s="17"/>
      <c r="U13" s="17"/>
      <c r="V13" s="17"/>
      <c r="W13" s="17"/>
      <c r="X13" s="17"/>
    </row>
    <row r="17" spans="1:9" x14ac:dyDescent="0.45">
      <c r="A17" s="18" t="s">
        <v>90</v>
      </c>
    </row>
    <row r="18" spans="1:9" x14ac:dyDescent="0.45">
      <c r="A18" s="245"/>
      <c r="B18" s="245"/>
      <c r="C18" s="245"/>
      <c r="D18" s="245"/>
      <c r="E18" s="245"/>
      <c r="F18" s="245"/>
      <c r="G18" s="245"/>
      <c r="H18" s="245"/>
      <c r="I18" s="245"/>
    </row>
  </sheetData>
  <mergeCells count="2">
    <mergeCell ref="A1:X1"/>
    <mergeCell ref="A18:I18"/>
  </mergeCells>
  <pageMargins left="0.7" right="0.7" top="0.75" bottom="0.75" header="0.3" footer="0.3"/>
  <pageSetup paperSize="9" orientation="portrait" horizontalDpi="4294967293" verticalDpi="0"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X17"/>
  <sheetViews>
    <sheetView workbookViewId="0">
      <selection activeCell="A9" sqref="A9"/>
    </sheetView>
  </sheetViews>
  <sheetFormatPr defaultRowHeight="14.25" x14ac:dyDescent="0.45"/>
  <cols>
    <col min="1" max="1" width="15" customWidth="1"/>
    <col min="2" max="2" width="12" customWidth="1"/>
    <col min="3" max="3" width="35" customWidth="1"/>
    <col min="4" max="4" width="30.33203125" customWidth="1"/>
    <col min="5" max="24" width="10" customWidth="1"/>
  </cols>
  <sheetData>
    <row r="1" spans="1:24" x14ac:dyDescent="0.45">
      <c r="A1" s="233" t="s">
        <v>230</v>
      </c>
      <c r="B1" s="234"/>
      <c r="C1" s="234"/>
      <c r="D1" s="234"/>
      <c r="E1" s="234"/>
      <c r="F1" s="234"/>
      <c r="G1" s="234"/>
      <c r="H1" s="234"/>
      <c r="I1" s="234"/>
      <c r="J1" s="234"/>
      <c r="K1" s="234"/>
      <c r="L1" s="234"/>
      <c r="M1" s="234"/>
      <c r="N1" s="234"/>
      <c r="O1" s="234"/>
      <c r="P1" s="234"/>
      <c r="Q1" s="234"/>
      <c r="R1" s="234"/>
      <c r="S1" s="234"/>
      <c r="T1" s="234"/>
      <c r="U1" s="234"/>
      <c r="V1" s="234"/>
      <c r="W1" s="234"/>
      <c r="X1" s="235"/>
    </row>
    <row r="4" spans="1:24" x14ac:dyDescent="0.45">
      <c r="A4" s="1" t="s">
        <v>87</v>
      </c>
      <c r="B4" s="1" t="s">
        <v>88</v>
      </c>
      <c r="C4" s="1" t="s">
        <v>170</v>
      </c>
      <c r="D4" s="1" t="s">
        <v>90</v>
      </c>
      <c r="E4" s="64" t="s">
        <v>91</v>
      </c>
      <c r="F4" s="64" t="s">
        <v>92</v>
      </c>
      <c r="G4" s="64" t="s">
        <v>93</v>
      </c>
      <c r="H4" s="64" t="s">
        <v>94</v>
      </c>
      <c r="I4" s="64" t="s">
        <v>95</v>
      </c>
      <c r="J4" s="64" t="s">
        <v>96</v>
      </c>
      <c r="K4" s="64" t="s">
        <v>97</v>
      </c>
      <c r="L4" s="64" t="s">
        <v>98</v>
      </c>
      <c r="M4" s="64" t="s">
        <v>99</v>
      </c>
      <c r="N4" s="64" t="s">
        <v>100</v>
      </c>
      <c r="O4" s="64" t="s">
        <v>101</v>
      </c>
      <c r="P4" s="64" t="s">
        <v>102</v>
      </c>
      <c r="Q4" s="64" t="s">
        <v>103</v>
      </c>
      <c r="R4" s="64" t="s">
        <v>104</v>
      </c>
      <c r="S4" s="64" t="s">
        <v>105</v>
      </c>
      <c r="T4" s="64" t="s">
        <v>106</v>
      </c>
      <c r="U4" s="64" t="s">
        <v>107</v>
      </c>
      <c r="V4" s="64" t="s">
        <v>108</v>
      </c>
      <c r="W4" s="64" t="s">
        <v>109</v>
      </c>
      <c r="X4" s="64" t="s">
        <v>110</v>
      </c>
    </row>
    <row r="5" spans="1:24" x14ac:dyDescent="0.45">
      <c r="A5" t="s">
        <v>231</v>
      </c>
      <c r="C5" t="s">
        <v>232</v>
      </c>
      <c r="D5" t="s">
        <v>233</v>
      </c>
      <c r="E5" s="105">
        <f>Biomass!E6</f>
        <v>0.89999999999999991</v>
      </c>
      <c r="F5" s="99">
        <f>Biomass!E7</f>
        <v>4.2</v>
      </c>
      <c r="G5" s="99">
        <f>Biomass!E8</f>
        <v>16.5</v>
      </c>
      <c r="H5" s="99">
        <f>Biomass!E9</f>
        <v>31.5</v>
      </c>
      <c r="I5" s="99">
        <f>Biomass!E10</f>
        <v>52.5</v>
      </c>
      <c r="J5" s="99">
        <f>Biomass!E11</f>
        <v>70</v>
      </c>
      <c r="K5" s="99">
        <f>Biomass!E12</f>
        <v>94.5</v>
      </c>
      <c r="L5" s="99">
        <f>Biomass!E13</f>
        <v>122.5</v>
      </c>
      <c r="M5" s="99">
        <f>Biomass!E14</f>
        <v>140</v>
      </c>
      <c r="N5" s="99">
        <f>Biomass!E15</f>
        <v>157.5</v>
      </c>
      <c r="O5" s="99">
        <f>Biomass!E16</f>
        <v>175</v>
      </c>
      <c r="P5" s="99">
        <f>Biomass!E17</f>
        <v>192.5</v>
      </c>
      <c r="Q5" s="99">
        <f>Biomass!E18</f>
        <v>210</v>
      </c>
      <c r="R5" s="99">
        <f>Biomass!E19</f>
        <v>227.5</v>
      </c>
      <c r="S5" s="99">
        <f>Biomass!E20</f>
        <v>245</v>
      </c>
      <c r="T5" s="99">
        <f>Biomass!E21</f>
        <v>262.5</v>
      </c>
      <c r="U5" s="99">
        <f>Biomass!E22</f>
        <v>273</v>
      </c>
      <c r="V5" s="99">
        <f>Biomass!E23</f>
        <v>280</v>
      </c>
      <c r="W5" s="99">
        <f>Biomass!E24</f>
        <v>287</v>
      </c>
      <c r="X5" s="99">
        <f>Biomass!E25</f>
        <v>294</v>
      </c>
    </row>
    <row r="6" spans="1:24" x14ac:dyDescent="0.45">
      <c r="A6" t="s">
        <v>234</v>
      </c>
      <c r="C6" t="s">
        <v>235</v>
      </c>
      <c r="D6" t="s">
        <v>236</v>
      </c>
      <c r="E6" s="41">
        <f>Biomass!A30</f>
        <v>0.24</v>
      </c>
      <c r="F6" s="3"/>
      <c r="G6" s="3"/>
      <c r="H6" s="3"/>
      <c r="I6" s="3"/>
      <c r="J6" s="3"/>
      <c r="K6" s="3"/>
      <c r="L6" s="3"/>
      <c r="M6" s="3"/>
      <c r="N6" s="3"/>
      <c r="O6" s="3"/>
      <c r="P6" s="3"/>
      <c r="Q6" s="3"/>
      <c r="R6" s="3"/>
      <c r="S6" s="3"/>
      <c r="T6" s="3"/>
      <c r="U6" s="3"/>
      <c r="V6" s="3"/>
      <c r="W6" s="3"/>
      <c r="X6" s="3"/>
    </row>
    <row r="7" spans="1:24" x14ac:dyDescent="0.45">
      <c r="C7" t="s">
        <v>237</v>
      </c>
      <c r="D7" t="s">
        <v>238</v>
      </c>
      <c r="E7" s="106">
        <f>E5*$E6</f>
        <v>0.21599999999999997</v>
      </c>
      <c r="F7" s="106">
        <f t="shared" ref="F7:X7" si="0">F5*$E6</f>
        <v>1.008</v>
      </c>
      <c r="G7" s="98">
        <f t="shared" si="0"/>
        <v>3.96</v>
      </c>
      <c r="H7" s="98">
        <f t="shared" si="0"/>
        <v>7.56</v>
      </c>
      <c r="I7" s="98">
        <f t="shared" si="0"/>
        <v>12.6</v>
      </c>
      <c r="J7" s="98">
        <f t="shared" si="0"/>
        <v>16.8</v>
      </c>
      <c r="K7" s="98">
        <f t="shared" si="0"/>
        <v>22.68</v>
      </c>
      <c r="L7" s="98">
        <f t="shared" si="0"/>
        <v>29.4</v>
      </c>
      <c r="M7" s="98">
        <f t="shared" si="0"/>
        <v>33.6</v>
      </c>
      <c r="N7" s="98">
        <f t="shared" si="0"/>
        <v>37.799999999999997</v>
      </c>
      <c r="O7" s="98">
        <f t="shared" si="0"/>
        <v>42</v>
      </c>
      <c r="P7" s="98">
        <f t="shared" si="0"/>
        <v>46.199999999999996</v>
      </c>
      <c r="Q7" s="98">
        <f t="shared" si="0"/>
        <v>50.4</v>
      </c>
      <c r="R7" s="98">
        <f t="shared" si="0"/>
        <v>54.6</v>
      </c>
      <c r="S7" s="98">
        <f t="shared" si="0"/>
        <v>58.8</v>
      </c>
      <c r="T7" s="98">
        <f t="shared" si="0"/>
        <v>63</v>
      </c>
      <c r="U7" s="98">
        <f t="shared" si="0"/>
        <v>65.52</v>
      </c>
      <c r="V7" s="98">
        <f t="shared" si="0"/>
        <v>67.2</v>
      </c>
      <c r="W7" s="98">
        <f t="shared" si="0"/>
        <v>68.88</v>
      </c>
      <c r="X7" s="98">
        <f t="shared" si="0"/>
        <v>70.56</v>
      </c>
    </row>
    <row r="8" spans="1:24" x14ac:dyDescent="0.45">
      <c r="A8" s="42"/>
      <c r="B8" s="42"/>
      <c r="C8" s="42"/>
      <c r="D8" s="42"/>
      <c r="E8" s="6"/>
      <c r="F8" s="6"/>
      <c r="G8" s="6"/>
      <c r="H8" s="6"/>
      <c r="I8" s="6"/>
      <c r="J8" s="6"/>
      <c r="K8" s="6"/>
      <c r="L8" s="6"/>
      <c r="M8" s="6"/>
      <c r="N8" s="6"/>
      <c r="O8" s="6"/>
      <c r="P8" s="6"/>
      <c r="Q8" s="6"/>
      <c r="R8" s="6"/>
      <c r="S8" s="6"/>
      <c r="T8" s="6"/>
      <c r="U8" s="6"/>
      <c r="V8" s="6"/>
      <c r="W8" s="6"/>
      <c r="X8" s="6"/>
    </row>
    <row r="9" spans="1:24" s="7" customFormat="1" x14ac:dyDescent="0.45">
      <c r="A9" s="45" t="s">
        <v>239</v>
      </c>
      <c r="B9" s="45"/>
      <c r="C9" s="45" t="s">
        <v>240</v>
      </c>
      <c r="D9" s="46"/>
      <c r="E9" s="107">
        <f>E5*(1+$E6)</f>
        <v>1.1159999999999999</v>
      </c>
      <c r="F9" s="83">
        <f t="shared" ref="F9:X9" si="1">F5*(1+$E6)</f>
        <v>5.2080000000000002</v>
      </c>
      <c r="G9" s="83">
        <f>G5*(1+$E6)</f>
        <v>20.46</v>
      </c>
      <c r="H9" s="83">
        <f t="shared" si="1"/>
        <v>39.06</v>
      </c>
      <c r="I9" s="83">
        <f t="shared" si="1"/>
        <v>65.099999999999994</v>
      </c>
      <c r="J9" s="83">
        <f t="shared" si="1"/>
        <v>86.8</v>
      </c>
      <c r="K9" s="83">
        <f t="shared" si="1"/>
        <v>117.17999999999999</v>
      </c>
      <c r="L9" s="83">
        <f t="shared" si="1"/>
        <v>151.9</v>
      </c>
      <c r="M9" s="83">
        <f t="shared" si="1"/>
        <v>173.6</v>
      </c>
      <c r="N9" s="83">
        <f t="shared" si="1"/>
        <v>195.3</v>
      </c>
      <c r="O9" s="83">
        <f t="shared" si="1"/>
        <v>217</v>
      </c>
      <c r="P9" s="83">
        <f t="shared" si="1"/>
        <v>238.7</v>
      </c>
      <c r="Q9" s="83">
        <f t="shared" si="1"/>
        <v>260.39999999999998</v>
      </c>
      <c r="R9" s="83">
        <f t="shared" si="1"/>
        <v>282.10000000000002</v>
      </c>
      <c r="S9" s="83">
        <f t="shared" si="1"/>
        <v>303.8</v>
      </c>
      <c r="T9" s="83">
        <f t="shared" si="1"/>
        <v>325.5</v>
      </c>
      <c r="U9" s="83">
        <f t="shared" si="1"/>
        <v>338.52</v>
      </c>
      <c r="V9" s="83">
        <f t="shared" si="1"/>
        <v>347.2</v>
      </c>
      <c r="W9" s="83">
        <f t="shared" si="1"/>
        <v>355.88</v>
      </c>
      <c r="X9" s="83">
        <f t="shared" si="1"/>
        <v>364.56</v>
      </c>
    </row>
    <row r="16" spans="1:24" x14ac:dyDescent="0.45">
      <c r="A16" s="18" t="s">
        <v>90</v>
      </c>
    </row>
    <row r="17" spans="1:1" x14ac:dyDescent="0.45">
      <c r="A17" s="4" t="s">
        <v>241</v>
      </c>
    </row>
  </sheetData>
  <mergeCells count="1">
    <mergeCell ref="A1:X1"/>
  </mergeCells>
  <pageMargins left="0.75" right="0.75" top="1" bottom="1" header="0.5" footer="0.5"/>
  <pageSetup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Y20"/>
  <sheetViews>
    <sheetView topLeftCell="A3" workbookViewId="0">
      <selection sqref="A1:X1"/>
    </sheetView>
  </sheetViews>
  <sheetFormatPr defaultRowHeight="14.25" x14ac:dyDescent="0.45"/>
  <cols>
    <col min="1" max="1" width="15" customWidth="1"/>
    <col min="2" max="2" width="12" customWidth="1"/>
    <col min="3" max="3" width="35" customWidth="1"/>
    <col min="4" max="4" width="20" customWidth="1"/>
    <col min="5" max="24" width="10" customWidth="1"/>
  </cols>
  <sheetData>
    <row r="1" spans="1:25" x14ac:dyDescent="0.45">
      <c r="A1" s="233" t="s">
        <v>242</v>
      </c>
      <c r="B1" s="234"/>
      <c r="C1" s="234"/>
      <c r="D1" s="234"/>
      <c r="E1" s="234"/>
      <c r="F1" s="234"/>
      <c r="G1" s="234"/>
      <c r="H1" s="234"/>
      <c r="I1" s="234"/>
      <c r="J1" s="234"/>
      <c r="K1" s="234"/>
      <c r="L1" s="234"/>
      <c r="M1" s="234"/>
      <c r="N1" s="234"/>
      <c r="O1" s="234"/>
      <c r="P1" s="234"/>
      <c r="Q1" s="234"/>
      <c r="R1" s="234"/>
      <c r="S1" s="234"/>
      <c r="T1" s="234"/>
      <c r="U1" s="234"/>
      <c r="V1" s="234"/>
      <c r="W1" s="234"/>
      <c r="X1" s="235"/>
    </row>
    <row r="4" spans="1:25" x14ac:dyDescent="0.45">
      <c r="A4" s="1" t="s">
        <v>87</v>
      </c>
      <c r="B4" s="1" t="s">
        <v>88</v>
      </c>
      <c r="C4" s="1" t="s">
        <v>170</v>
      </c>
      <c r="D4" s="1" t="s">
        <v>90</v>
      </c>
      <c r="E4" s="64" t="s">
        <v>91</v>
      </c>
      <c r="F4" s="64" t="s">
        <v>92</v>
      </c>
      <c r="G4" s="64" t="s">
        <v>93</v>
      </c>
      <c r="H4" s="64" t="s">
        <v>94</v>
      </c>
      <c r="I4" s="64" t="s">
        <v>95</v>
      </c>
      <c r="J4" s="64" t="s">
        <v>96</v>
      </c>
      <c r="K4" s="64" t="s">
        <v>97</v>
      </c>
      <c r="L4" s="64" t="s">
        <v>98</v>
      </c>
      <c r="M4" s="64" t="s">
        <v>99</v>
      </c>
      <c r="N4" s="64" t="s">
        <v>100</v>
      </c>
      <c r="O4" s="64" t="s">
        <v>101</v>
      </c>
      <c r="P4" s="64" t="s">
        <v>102</v>
      </c>
      <c r="Q4" s="64" t="s">
        <v>103</v>
      </c>
      <c r="R4" s="64" t="s">
        <v>104</v>
      </c>
      <c r="S4" s="64" t="s">
        <v>105</v>
      </c>
      <c r="T4" s="64" t="s">
        <v>106</v>
      </c>
      <c r="U4" s="64" t="s">
        <v>107</v>
      </c>
      <c r="V4" s="64" t="s">
        <v>108</v>
      </c>
      <c r="W4" s="64" t="s">
        <v>109</v>
      </c>
      <c r="X4" s="64" t="s">
        <v>110</v>
      </c>
    </row>
    <row r="5" spans="1:25" x14ac:dyDescent="0.45">
      <c r="A5" t="s">
        <v>243</v>
      </c>
      <c r="B5" t="s">
        <v>244</v>
      </c>
      <c r="C5" t="s">
        <v>245</v>
      </c>
      <c r="D5" t="s">
        <v>246</v>
      </c>
      <c r="E5" s="100">
        <v>3</v>
      </c>
      <c r="F5" s="100">
        <v>3</v>
      </c>
      <c r="G5" s="100">
        <v>2</v>
      </c>
      <c r="H5" s="100">
        <v>2</v>
      </c>
      <c r="I5" s="100">
        <v>1.5</v>
      </c>
      <c r="J5" s="100">
        <v>1</v>
      </c>
      <c r="K5" s="100">
        <v>1</v>
      </c>
      <c r="L5" s="100">
        <v>0.75</v>
      </c>
      <c r="M5" s="100">
        <v>0.75</v>
      </c>
      <c r="N5" s="100">
        <v>0.5</v>
      </c>
      <c r="O5" s="100">
        <v>0.5</v>
      </c>
      <c r="P5" s="100">
        <v>0.4</v>
      </c>
      <c r="Q5" s="100">
        <v>0.4</v>
      </c>
      <c r="R5" s="100">
        <v>0.3</v>
      </c>
      <c r="S5" s="100">
        <v>0.3</v>
      </c>
      <c r="T5" s="100">
        <v>0.2</v>
      </c>
      <c r="U5" s="100">
        <v>0.2</v>
      </c>
      <c r="V5" s="100">
        <v>0.1</v>
      </c>
      <c r="W5" s="100">
        <v>0.1</v>
      </c>
      <c r="X5" s="100">
        <v>0.1</v>
      </c>
      <c r="Y5" s="21" t="s">
        <v>247</v>
      </c>
    </row>
    <row r="6" spans="1:25" x14ac:dyDescent="0.45">
      <c r="A6" t="s">
        <v>248</v>
      </c>
      <c r="B6" t="s">
        <v>249</v>
      </c>
      <c r="C6" t="s">
        <v>250</v>
      </c>
      <c r="D6" t="s">
        <v>251</v>
      </c>
      <c r="E6" s="41">
        <f>Biomass!$A28</f>
        <v>0.47</v>
      </c>
      <c r="F6" s="3"/>
      <c r="G6" s="3"/>
      <c r="H6" s="3"/>
      <c r="I6" s="3"/>
      <c r="J6" s="3"/>
      <c r="K6" s="3"/>
      <c r="L6" s="3"/>
      <c r="M6" s="3"/>
      <c r="N6" s="3"/>
      <c r="O6" s="3"/>
      <c r="P6" s="3"/>
      <c r="Q6" s="3"/>
      <c r="R6" s="3"/>
      <c r="S6" s="3"/>
      <c r="T6" s="3"/>
      <c r="U6" s="3"/>
      <c r="V6" s="3"/>
      <c r="W6" s="3"/>
      <c r="X6" s="3"/>
    </row>
    <row r="7" spans="1:25" x14ac:dyDescent="0.45">
      <c r="A7" s="42"/>
      <c r="B7" s="42"/>
      <c r="C7" s="42"/>
      <c r="D7" s="42"/>
      <c r="E7" s="3"/>
      <c r="F7" s="3"/>
      <c r="G7" s="3"/>
      <c r="H7" s="3"/>
      <c r="I7" s="3"/>
      <c r="J7" s="3"/>
      <c r="K7" s="3"/>
      <c r="L7" s="3"/>
      <c r="M7" s="3"/>
      <c r="N7" s="3"/>
      <c r="O7" s="3"/>
      <c r="P7" s="3"/>
      <c r="Q7" s="3"/>
      <c r="R7" s="3"/>
      <c r="S7" s="3"/>
      <c r="T7" s="3"/>
      <c r="U7" s="3"/>
      <c r="V7" s="3"/>
      <c r="W7" s="3"/>
      <c r="X7" s="3"/>
    </row>
    <row r="8" spans="1:25" s="7" customFormat="1" x14ac:dyDescent="0.45">
      <c r="A8" s="45" t="s">
        <v>252</v>
      </c>
      <c r="B8" s="45"/>
      <c r="C8" s="45" t="s">
        <v>253</v>
      </c>
      <c r="D8" s="46"/>
      <c r="E8" s="104">
        <f>E5*$E6</f>
        <v>1.41</v>
      </c>
      <c r="F8" s="104">
        <f t="shared" ref="F8:X8" si="0">F5*$E6</f>
        <v>1.41</v>
      </c>
      <c r="G8" s="104">
        <f t="shared" si="0"/>
        <v>0.94</v>
      </c>
      <c r="H8" s="104">
        <f t="shared" si="0"/>
        <v>0.94</v>
      </c>
      <c r="I8" s="104">
        <f t="shared" si="0"/>
        <v>0.70499999999999996</v>
      </c>
      <c r="J8" s="104">
        <f t="shared" si="0"/>
        <v>0.47</v>
      </c>
      <c r="K8" s="104">
        <f t="shared" si="0"/>
        <v>0.47</v>
      </c>
      <c r="L8" s="104">
        <f t="shared" si="0"/>
        <v>0.35249999999999998</v>
      </c>
      <c r="M8" s="104">
        <f t="shared" si="0"/>
        <v>0.35249999999999998</v>
      </c>
      <c r="N8" s="104">
        <f t="shared" si="0"/>
        <v>0.23499999999999999</v>
      </c>
      <c r="O8" s="104">
        <f t="shared" si="0"/>
        <v>0.23499999999999999</v>
      </c>
      <c r="P8" s="104">
        <f t="shared" si="0"/>
        <v>0.188</v>
      </c>
      <c r="Q8" s="104">
        <f t="shared" si="0"/>
        <v>0.188</v>
      </c>
      <c r="R8" s="104">
        <f t="shared" si="0"/>
        <v>0.14099999999999999</v>
      </c>
      <c r="S8" s="104">
        <f t="shared" si="0"/>
        <v>0.14099999999999999</v>
      </c>
      <c r="T8" s="104">
        <f t="shared" si="0"/>
        <v>9.4E-2</v>
      </c>
      <c r="U8" s="104">
        <f t="shared" si="0"/>
        <v>9.4E-2</v>
      </c>
      <c r="V8" s="104">
        <f t="shared" si="0"/>
        <v>4.7E-2</v>
      </c>
      <c r="W8" s="104">
        <f t="shared" si="0"/>
        <v>4.7E-2</v>
      </c>
      <c r="X8" s="104">
        <f t="shared" si="0"/>
        <v>4.7E-2</v>
      </c>
    </row>
    <row r="16" spans="1:25" x14ac:dyDescent="0.45">
      <c r="A16" s="18" t="s">
        <v>90</v>
      </c>
    </row>
    <row r="17" spans="1:9" x14ac:dyDescent="0.45">
      <c r="A17" s="4" t="s">
        <v>254</v>
      </c>
    </row>
    <row r="18" spans="1:9" x14ac:dyDescent="0.45">
      <c r="A18" s="4" t="s">
        <v>255</v>
      </c>
    </row>
    <row r="20" spans="1:9" ht="207.5" customHeight="1" x14ac:dyDescent="0.45">
      <c r="A20" s="246" t="s">
        <v>256</v>
      </c>
      <c r="B20" s="246"/>
      <c r="C20" s="246"/>
      <c r="D20" s="246"/>
      <c r="E20" s="246"/>
      <c r="F20" s="246"/>
      <c r="G20" s="246"/>
      <c r="H20" s="246"/>
      <c r="I20" s="246"/>
    </row>
  </sheetData>
  <mergeCells count="2">
    <mergeCell ref="A1:X1"/>
    <mergeCell ref="A20:I20"/>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X27"/>
  <sheetViews>
    <sheetView topLeftCell="A16" workbookViewId="0">
      <selection activeCell="A17" sqref="A17:I17"/>
    </sheetView>
  </sheetViews>
  <sheetFormatPr defaultRowHeight="14.25" x14ac:dyDescent="0.45"/>
  <cols>
    <col min="1" max="1" width="15" customWidth="1"/>
    <col min="2" max="2" width="12" customWidth="1"/>
    <col min="3" max="3" width="35" customWidth="1"/>
    <col min="4" max="4" width="20" customWidth="1"/>
    <col min="5" max="24" width="10" customWidth="1"/>
  </cols>
  <sheetData>
    <row r="1" spans="1:24" x14ac:dyDescent="0.45">
      <c r="A1" s="233" t="s">
        <v>257</v>
      </c>
      <c r="B1" s="234"/>
      <c r="C1" s="234"/>
      <c r="D1" s="234"/>
      <c r="E1" s="234"/>
      <c r="F1" s="234"/>
      <c r="G1" s="234"/>
      <c r="H1" s="234"/>
      <c r="I1" s="234"/>
      <c r="J1" s="234"/>
      <c r="K1" s="234"/>
      <c r="L1" s="234"/>
      <c r="M1" s="234"/>
      <c r="N1" s="234"/>
      <c r="O1" s="234"/>
      <c r="P1" s="234"/>
      <c r="Q1" s="234"/>
      <c r="R1" s="234"/>
      <c r="S1" s="234"/>
      <c r="T1" s="234"/>
      <c r="U1" s="234"/>
      <c r="V1" s="234"/>
      <c r="W1" s="234"/>
      <c r="X1" s="235"/>
    </row>
    <row r="4" spans="1:24" x14ac:dyDescent="0.45">
      <c r="A4" s="1" t="s">
        <v>87</v>
      </c>
      <c r="B4" s="1" t="s">
        <v>88</v>
      </c>
      <c r="C4" s="1" t="s">
        <v>170</v>
      </c>
      <c r="D4" s="1" t="s">
        <v>90</v>
      </c>
      <c r="E4" s="64" t="s">
        <v>91</v>
      </c>
      <c r="F4" s="64" t="s">
        <v>92</v>
      </c>
      <c r="G4" s="64" t="s">
        <v>93</v>
      </c>
      <c r="H4" s="64" t="s">
        <v>94</v>
      </c>
      <c r="I4" s="64" t="s">
        <v>95</v>
      </c>
      <c r="J4" s="64" t="s">
        <v>96</v>
      </c>
      <c r="K4" s="64" t="s">
        <v>97</v>
      </c>
      <c r="L4" s="64" t="s">
        <v>98</v>
      </c>
      <c r="M4" s="64" t="s">
        <v>99</v>
      </c>
      <c r="N4" s="64" t="s">
        <v>100</v>
      </c>
      <c r="O4" s="64" t="s">
        <v>101</v>
      </c>
      <c r="P4" s="64" t="s">
        <v>102</v>
      </c>
      <c r="Q4" s="64" t="s">
        <v>103</v>
      </c>
      <c r="R4" s="64" t="s">
        <v>104</v>
      </c>
      <c r="S4" s="64" t="s">
        <v>105</v>
      </c>
      <c r="T4" s="64" t="s">
        <v>106</v>
      </c>
      <c r="U4" s="64" t="s">
        <v>107</v>
      </c>
      <c r="V4" s="64" t="s">
        <v>108</v>
      </c>
      <c r="W4" s="64" t="s">
        <v>109</v>
      </c>
      <c r="X4" s="64" t="s">
        <v>110</v>
      </c>
    </row>
    <row r="5" spans="1:24" x14ac:dyDescent="0.45">
      <c r="A5" t="s">
        <v>258</v>
      </c>
      <c r="B5" t="s">
        <v>259</v>
      </c>
      <c r="C5" t="s">
        <v>260</v>
      </c>
      <c r="D5" t="s">
        <v>261</v>
      </c>
      <c r="E5" s="100">
        <f>2%*Eq4_CWP_woody!E5</f>
        <v>1.7999999999999999E-2</v>
      </c>
      <c r="F5" s="100">
        <f>2%*Eq4_CWP_woody!F5</f>
        <v>8.4000000000000005E-2</v>
      </c>
      <c r="G5" s="100">
        <f>2%*Eq4_CWP_woody!G5</f>
        <v>0.33</v>
      </c>
      <c r="H5" s="100">
        <f>2%*Eq4_CWP_woody!H5</f>
        <v>0.63</v>
      </c>
      <c r="I5" s="100">
        <f>2%*Eq4_CWP_woody!I5</f>
        <v>1.05</v>
      </c>
      <c r="J5" s="100">
        <f>8%*Eq4_CWP_woody!J5</f>
        <v>5.6000000000000005</v>
      </c>
      <c r="K5" s="100">
        <f>8%*Eq4_CWP_woody!K5</f>
        <v>7.5600000000000005</v>
      </c>
      <c r="L5" s="100">
        <f>8%*Eq4_CWP_woody!L5</f>
        <v>9.8000000000000007</v>
      </c>
      <c r="M5" s="100">
        <f>8%*Eq4_CWP_woody!M5</f>
        <v>11.200000000000001</v>
      </c>
      <c r="N5" s="100">
        <f>8%*Eq4_CWP_woody!N5</f>
        <v>12.6</v>
      </c>
      <c r="O5" s="100">
        <f>12%*Eq4_CWP_woody!O5</f>
        <v>21</v>
      </c>
      <c r="P5" s="100">
        <f>12%*Eq4_CWP_woody!P5</f>
        <v>23.099999999999998</v>
      </c>
      <c r="Q5" s="100">
        <f>12%*Eq4_CWP_woody!Q5</f>
        <v>25.2</v>
      </c>
      <c r="R5" s="100">
        <f>12%*Eq4_CWP_woody!R5</f>
        <v>27.3</v>
      </c>
      <c r="S5" s="100">
        <f>12%*Eq4_CWP_woody!S5</f>
        <v>29.4</v>
      </c>
      <c r="T5" s="100">
        <f>12%*Eq4_CWP_woody!T5</f>
        <v>31.5</v>
      </c>
      <c r="U5" s="100">
        <f>12%*Eq4_CWP_woody!U5</f>
        <v>32.76</v>
      </c>
      <c r="V5" s="100">
        <f>12%*Eq4_CWP_woody!V5</f>
        <v>33.6</v>
      </c>
      <c r="W5" s="100">
        <f>12%*Eq4_CWP_woody!W5</f>
        <v>34.44</v>
      </c>
      <c r="X5" s="100">
        <f>12%*Eq4_CWP_woody!X5</f>
        <v>35.28</v>
      </c>
    </row>
    <row r="6" spans="1:24" x14ac:dyDescent="0.45">
      <c r="A6" t="s">
        <v>262</v>
      </c>
      <c r="B6" t="s">
        <v>259</v>
      </c>
      <c r="C6" t="s">
        <v>263</v>
      </c>
      <c r="D6" t="s">
        <v>261</v>
      </c>
      <c r="E6" s="100">
        <f>Eq4_CWP_woody!E5*1%</f>
        <v>8.9999999999999993E-3</v>
      </c>
      <c r="F6" s="100">
        <f>Eq4_CWP_woody!F5*1%</f>
        <v>4.2000000000000003E-2</v>
      </c>
      <c r="G6" s="100">
        <f>Eq4_CWP_woody!G5*1%</f>
        <v>0.16500000000000001</v>
      </c>
      <c r="H6" s="100">
        <f>Eq4_CWP_woody!H5*1%</f>
        <v>0.315</v>
      </c>
      <c r="I6" s="100">
        <f>Eq4_CWP_woody!I5*1%</f>
        <v>0.52500000000000002</v>
      </c>
      <c r="J6" s="100">
        <f>Eq4_CWP_woody!J5*3%</f>
        <v>2.1</v>
      </c>
      <c r="K6" s="100">
        <f>Eq4_CWP_woody!K5*3%</f>
        <v>2.835</v>
      </c>
      <c r="L6" s="100">
        <f>Eq4_CWP_woody!L5*3%</f>
        <v>3.6749999999999998</v>
      </c>
      <c r="M6" s="100">
        <f>Eq4_CWP_woody!M5*3%</f>
        <v>4.2</v>
      </c>
      <c r="N6" s="100">
        <f>Eq4_CWP_woody!N5*3%</f>
        <v>4.7249999999999996</v>
      </c>
      <c r="O6" s="100">
        <f>Eq4_CWP_woody!O5*5%</f>
        <v>8.75</v>
      </c>
      <c r="P6" s="100">
        <f>Eq4_CWP_woody!P5*5%</f>
        <v>9.625</v>
      </c>
      <c r="Q6" s="100">
        <f>Eq4_CWP_woody!Q5*5%</f>
        <v>10.5</v>
      </c>
      <c r="R6" s="100">
        <f>Eq4_CWP_woody!R5*5%</f>
        <v>11.375</v>
      </c>
      <c r="S6" s="100">
        <f>Eq4_CWP_woody!S5*5%</f>
        <v>12.25</v>
      </c>
      <c r="T6" s="100">
        <f>Eq4_CWP_woody!T5*5%</f>
        <v>13.125</v>
      </c>
      <c r="U6" s="100">
        <f>Eq4_CWP_woody!U5*5%</f>
        <v>13.65</v>
      </c>
      <c r="V6" s="100">
        <f>Eq4_CWP_woody!V5*5%</f>
        <v>14</v>
      </c>
      <c r="W6" s="100">
        <f>Eq4_CWP_woody!W5*5%</f>
        <v>14.350000000000001</v>
      </c>
      <c r="X6" s="100">
        <f>Eq4_CWP_woody!X5*5%</f>
        <v>14.700000000000001</v>
      </c>
    </row>
    <row r="7" spans="1:24" x14ac:dyDescent="0.45">
      <c r="A7" t="s">
        <v>248</v>
      </c>
      <c r="B7" t="s">
        <v>264</v>
      </c>
      <c r="C7" t="s">
        <v>265</v>
      </c>
      <c r="D7" t="s">
        <v>251</v>
      </c>
      <c r="E7" s="41">
        <f>Biomass!A28</f>
        <v>0.47</v>
      </c>
      <c r="F7" s="3"/>
      <c r="G7" s="3"/>
      <c r="H7" s="3"/>
      <c r="I7" s="3"/>
      <c r="J7" s="3"/>
      <c r="K7" s="3"/>
      <c r="L7" s="3"/>
      <c r="M7" s="3"/>
      <c r="N7" s="3"/>
      <c r="O7" s="3"/>
      <c r="P7" s="3"/>
      <c r="Q7" s="3"/>
      <c r="R7" s="3"/>
      <c r="S7" s="3"/>
      <c r="T7" s="3"/>
      <c r="U7" s="3"/>
      <c r="V7" s="3"/>
      <c r="W7" s="3"/>
      <c r="X7" s="3"/>
    </row>
    <row r="8" spans="1:24" x14ac:dyDescent="0.45">
      <c r="E8" s="3"/>
      <c r="F8" s="3"/>
      <c r="G8" s="3"/>
      <c r="H8" s="3"/>
      <c r="I8" s="3"/>
      <c r="J8" s="3"/>
      <c r="K8" s="3"/>
      <c r="L8" s="3"/>
      <c r="M8" s="3"/>
      <c r="N8" s="3"/>
      <c r="O8" s="3"/>
      <c r="P8" s="3"/>
      <c r="Q8" s="3"/>
      <c r="R8" s="3"/>
      <c r="S8" s="3"/>
      <c r="T8" s="3"/>
      <c r="U8" s="3"/>
      <c r="V8" s="3"/>
      <c r="W8" s="3"/>
      <c r="X8" s="3"/>
    </row>
    <row r="9" spans="1:24" s="7" customFormat="1" x14ac:dyDescent="0.45">
      <c r="A9" s="45" t="s">
        <v>266</v>
      </c>
      <c r="B9" s="45" t="s">
        <v>267</v>
      </c>
      <c r="C9" s="45" t="s">
        <v>268</v>
      </c>
      <c r="D9" s="46"/>
      <c r="E9" s="102">
        <f>(E5+E6)*$E7</f>
        <v>1.2689999999999998E-2</v>
      </c>
      <c r="F9" s="102">
        <f t="shared" ref="F9:X9" si="0">(F5+F6)*$E7</f>
        <v>5.9219999999999995E-2</v>
      </c>
      <c r="G9" s="102">
        <f t="shared" si="0"/>
        <v>0.23265</v>
      </c>
      <c r="H9" s="102">
        <f t="shared" si="0"/>
        <v>0.44414999999999999</v>
      </c>
      <c r="I9" s="102">
        <f t="shared" si="0"/>
        <v>0.74025000000000007</v>
      </c>
      <c r="J9" s="103">
        <f t="shared" si="0"/>
        <v>3.6190000000000002</v>
      </c>
      <c r="K9" s="103">
        <f t="shared" si="0"/>
        <v>4.8856499999999992</v>
      </c>
      <c r="L9" s="103">
        <f t="shared" si="0"/>
        <v>6.3332500000000005</v>
      </c>
      <c r="M9" s="103">
        <f t="shared" si="0"/>
        <v>7.2380000000000004</v>
      </c>
      <c r="N9" s="103">
        <f t="shared" si="0"/>
        <v>8.1427499999999995</v>
      </c>
      <c r="O9" s="103">
        <f t="shared" si="0"/>
        <v>13.9825</v>
      </c>
      <c r="P9" s="103">
        <f t="shared" si="0"/>
        <v>15.380749999999997</v>
      </c>
      <c r="Q9" s="103">
        <f t="shared" si="0"/>
        <v>16.779</v>
      </c>
      <c r="R9" s="103">
        <f t="shared" si="0"/>
        <v>18.177249999999997</v>
      </c>
      <c r="S9" s="103">
        <f t="shared" si="0"/>
        <v>19.575499999999998</v>
      </c>
      <c r="T9" s="103">
        <f t="shared" si="0"/>
        <v>20.973749999999999</v>
      </c>
      <c r="U9" s="103">
        <f t="shared" si="0"/>
        <v>21.812699999999996</v>
      </c>
      <c r="V9" s="103">
        <f t="shared" si="0"/>
        <v>22.372</v>
      </c>
      <c r="W9" s="103">
        <f t="shared" si="0"/>
        <v>22.931299999999997</v>
      </c>
      <c r="X9" s="103">
        <f t="shared" si="0"/>
        <v>23.490600000000001</v>
      </c>
    </row>
    <row r="16" spans="1:24" x14ac:dyDescent="0.45">
      <c r="A16" s="18" t="s">
        <v>90</v>
      </c>
    </row>
    <row r="17" spans="1:9" ht="281" customHeight="1" x14ac:dyDescent="0.45">
      <c r="A17" s="247" t="s">
        <v>269</v>
      </c>
      <c r="B17" s="247"/>
      <c r="C17" s="247"/>
      <c r="D17" s="247"/>
      <c r="E17" s="247"/>
      <c r="F17" s="247"/>
      <c r="G17" s="247"/>
      <c r="H17" s="247"/>
      <c r="I17" s="247"/>
    </row>
    <row r="18" spans="1:9" ht="15.75" x14ac:dyDescent="0.45">
      <c r="A18" s="19" t="s">
        <v>270</v>
      </c>
    </row>
    <row r="19" spans="1:9" ht="15.4" x14ac:dyDescent="0.45">
      <c r="A19" s="20" t="s">
        <v>271</v>
      </c>
    </row>
    <row r="20" spans="1:9" ht="15.4" x14ac:dyDescent="0.45">
      <c r="A20" s="20" t="s">
        <v>272</v>
      </c>
    </row>
    <row r="21" spans="1:9" ht="22.9" x14ac:dyDescent="0.45">
      <c r="A21" s="20" t="s">
        <v>273</v>
      </c>
    </row>
    <row r="22" spans="1:9" ht="22.9" x14ac:dyDescent="0.45">
      <c r="A22" s="20" t="s">
        <v>274</v>
      </c>
    </row>
    <row r="23" spans="1:9" ht="15.75" x14ac:dyDescent="0.45">
      <c r="A23" s="19" t="s">
        <v>275</v>
      </c>
    </row>
    <row r="24" spans="1:9" ht="15.4" x14ac:dyDescent="0.45">
      <c r="A24" s="20" t="s">
        <v>276</v>
      </c>
    </row>
    <row r="25" spans="1:9" ht="22.9" x14ac:dyDescent="0.45">
      <c r="A25" s="20" t="s">
        <v>277</v>
      </c>
    </row>
    <row r="26" spans="1:9" ht="15.4" x14ac:dyDescent="0.45">
      <c r="A26" s="20" t="s">
        <v>278</v>
      </c>
    </row>
    <row r="27" spans="1:9" ht="22.9" x14ac:dyDescent="0.45">
      <c r="A27" s="20" t="s">
        <v>279</v>
      </c>
    </row>
  </sheetData>
  <mergeCells count="2">
    <mergeCell ref="A1:X1"/>
    <mergeCell ref="A17:I17"/>
  </mergeCells>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X17"/>
  <sheetViews>
    <sheetView workbookViewId="0">
      <selection sqref="A1:X1"/>
    </sheetView>
  </sheetViews>
  <sheetFormatPr defaultRowHeight="14.25" x14ac:dyDescent="0.45"/>
  <cols>
    <col min="1" max="1" width="15" customWidth="1"/>
    <col min="2" max="2" width="12" customWidth="1"/>
    <col min="3" max="3" width="35" customWidth="1"/>
    <col min="4" max="4" width="20" customWidth="1"/>
    <col min="5" max="24" width="10" customWidth="1"/>
  </cols>
  <sheetData>
    <row r="1" spans="1:24" x14ac:dyDescent="0.45">
      <c r="A1" s="233" t="s">
        <v>280</v>
      </c>
      <c r="B1" s="234"/>
      <c r="C1" s="234"/>
      <c r="D1" s="234"/>
      <c r="E1" s="234"/>
      <c r="F1" s="234"/>
      <c r="G1" s="234"/>
      <c r="H1" s="234"/>
      <c r="I1" s="234"/>
      <c r="J1" s="234"/>
      <c r="K1" s="234"/>
      <c r="L1" s="234"/>
      <c r="M1" s="234"/>
      <c r="N1" s="234"/>
      <c r="O1" s="234"/>
      <c r="P1" s="234"/>
      <c r="Q1" s="234"/>
      <c r="R1" s="234"/>
      <c r="S1" s="234"/>
      <c r="T1" s="234"/>
      <c r="U1" s="234"/>
      <c r="V1" s="234"/>
      <c r="W1" s="234"/>
      <c r="X1" s="235"/>
    </row>
    <row r="4" spans="1:24" x14ac:dyDescent="0.45">
      <c r="A4" s="1" t="s">
        <v>87</v>
      </c>
      <c r="B4" s="1" t="s">
        <v>88</v>
      </c>
      <c r="C4" s="1" t="s">
        <v>170</v>
      </c>
      <c r="D4" s="1" t="s">
        <v>90</v>
      </c>
      <c r="E4" s="64" t="s">
        <v>91</v>
      </c>
      <c r="F4" s="64" t="s">
        <v>92</v>
      </c>
      <c r="G4" s="64" t="s">
        <v>93</v>
      </c>
      <c r="H4" s="64" t="s">
        <v>94</v>
      </c>
      <c r="I4" s="64" t="s">
        <v>95</v>
      </c>
      <c r="J4" s="64" t="s">
        <v>96</v>
      </c>
      <c r="K4" s="64" t="s">
        <v>97</v>
      </c>
      <c r="L4" s="64" t="s">
        <v>98</v>
      </c>
      <c r="M4" s="64" t="s">
        <v>99</v>
      </c>
      <c r="N4" s="64" t="s">
        <v>100</v>
      </c>
      <c r="O4" s="64" t="s">
        <v>101</v>
      </c>
      <c r="P4" s="64" t="s">
        <v>102</v>
      </c>
      <c r="Q4" s="64" t="s">
        <v>103</v>
      </c>
      <c r="R4" s="64" t="s">
        <v>104</v>
      </c>
      <c r="S4" s="64" t="s">
        <v>105</v>
      </c>
      <c r="T4" s="64" t="s">
        <v>106</v>
      </c>
      <c r="U4" s="64" t="s">
        <v>107</v>
      </c>
      <c r="V4" s="64" t="s">
        <v>108</v>
      </c>
      <c r="W4" s="64" t="s">
        <v>109</v>
      </c>
      <c r="X4" s="64" t="s">
        <v>110</v>
      </c>
    </row>
    <row r="5" spans="1:24" x14ac:dyDescent="0.45">
      <c r="A5" t="s">
        <v>281</v>
      </c>
      <c r="C5" t="s">
        <v>282</v>
      </c>
      <c r="D5" t="s">
        <v>283</v>
      </c>
      <c r="E5" s="100">
        <v>1.5</v>
      </c>
      <c r="F5" s="101">
        <v>2</v>
      </c>
      <c r="G5" s="100">
        <v>2.5</v>
      </c>
      <c r="H5" s="100">
        <v>2.8</v>
      </c>
      <c r="I5" s="100">
        <v>2.9</v>
      </c>
      <c r="J5" s="100">
        <v>3</v>
      </c>
      <c r="K5" s="100">
        <v>3.1</v>
      </c>
      <c r="L5" s="100">
        <v>3.2</v>
      </c>
      <c r="M5" s="100">
        <v>3.3</v>
      </c>
      <c r="N5" s="100">
        <v>3.4</v>
      </c>
      <c r="O5" s="100">
        <v>3.5</v>
      </c>
      <c r="P5" s="100">
        <v>3.6</v>
      </c>
      <c r="Q5" s="100">
        <v>3.7</v>
      </c>
      <c r="R5" s="100">
        <v>3.8</v>
      </c>
      <c r="S5" s="100">
        <v>3.9</v>
      </c>
      <c r="T5" s="100">
        <v>4</v>
      </c>
      <c r="U5" s="100">
        <v>4.0999999999999996</v>
      </c>
      <c r="V5" s="100">
        <v>4.2</v>
      </c>
      <c r="W5" s="100">
        <v>4.3</v>
      </c>
      <c r="X5" s="100">
        <v>4.4000000000000004</v>
      </c>
    </row>
    <row r="6" spans="1:24" x14ac:dyDescent="0.45">
      <c r="A6" t="s">
        <v>248</v>
      </c>
      <c r="C6" t="s">
        <v>284</v>
      </c>
      <c r="D6" t="s">
        <v>251</v>
      </c>
      <c r="E6" s="41">
        <f>Biomass!A28</f>
        <v>0.47</v>
      </c>
      <c r="F6" s="3"/>
      <c r="G6" s="3"/>
      <c r="H6" s="3"/>
      <c r="I6" s="3"/>
      <c r="J6" s="3"/>
      <c r="K6" s="3"/>
      <c r="L6" s="3"/>
      <c r="M6" s="3"/>
      <c r="N6" s="3"/>
      <c r="O6" s="3"/>
      <c r="P6" s="3"/>
      <c r="Q6" s="3"/>
      <c r="R6" s="3"/>
      <c r="S6" s="3"/>
      <c r="T6" s="3"/>
      <c r="U6" s="3"/>
      <c r="V6" s="3"/>
      <c r="W6" s="3"/>
      <c r="X6" s="3"/>
    </row>
    <row r="7" spans="1:24" x14ac:dyDescent="0.45">
      <c r="E7" s="3"/>
      <c r="F7" s="3"/>
      <c r="G7" s="3"/>
      <c r="H7" s="3"/>
      <c r="I7" s="3"/>
      <c r="J7" s="3"/>
      <c r="K7" s="3"/>
      <c r="L7" s="3"/>
      <c r="M7" s="3"/>
      <c r="N7" s="3"/>
      <c r="O7" s="3"/>
      <c r="P7" s="3"/>
      <c r="Q7" s="3"/>
      <c r="R7" s="3"/>
      <c r="S7" s="3"/>
      <c r="T7" s="3"/>
      <c r="U7" s="3"/>
      <c r="V7" s="3"/>
      <c r="W7" s="3"/>
      <c r="X7" s="3"/>
    </row>
    <row r="8" spans="1:24" s="7" customFormat="1" x14ac:dyDescent="0.45">
      <c r="A8" s="45" t="s">
        <v>285</v>
      </c>
      <c r="B8" s="45"/>
      <c r="C8" s="45" t="s">
        <v>286</v>
      </c>
      <c r="D8" s="46"/>
      <c r="E8" s="102">
        <f>E5*$E6</f>
        <v>0.70499999999999996</v>
      </c>
      <c r="F8" s="102">
        <f t="shared" ref="F8:X8" si="0">F5*$E6</f>
        <v>0.94</v>
      </c>
      <c r="G8" s="102">
        <f t="shared" si="0"/>
        <v>1.1749999999999998</v>
      </c>
      <c r="H8" s="102">
        <f t="shared" si="0"/>
        <v>1.3159999999999998</v>
      </c>
      <c r="I8" s="102">
        <f t="shared" si="0"/>
        <v>1.363</v>
      </c>
      <c r="J8" s="102">
        <f t="shared" si="0"/>
        <v>1.41</v>
      </c>
      <c r="K8" s="102">
        <f t="shared" si="0"/>
        <v>1.4569999999999999</v>
      </c>
      <c r="L8" s="102">
        <f t="shared" si="0"/>
        <v>1.504</v>
      </c>
      <c r="M8" s="102">
        <f t="shared" si="0"/>
        <v>1.5509999999999999</v>
      </c>
      <c r="N8" s="102">
        <f t="shared" si="0"/>
        <v>1.5979999999999999</v>
      </c>
      <c r="O8" s="102">
        <f t="shared" si="0"/>
        <v>1.645</v>
      </c>
      <c r="P8" s="102">
        <f t="shared" si="0"/>
        <v>1.6919999999999999</v>
      </c>
      <c r="Q8" s="102">
        <f t="shared" si="0"/>
        <v>1.7389999999999999</v>
      </c>
      <c r="R8" s="102">
        <f t="shared" si="0"/>
        <v>1.7859999999999998</v>
      </c>
      <c r="S8" s="102">
        <f t="shared" si="0"/>
        <v>1.833</v>
      </c>
      <c r="T8" s="102">
        <f t="shared" si="0"/>
        <v>1.88</v>
      </c>
      <c r="U8" s="102">
        <f t="shared" si="0"/>
        <v>1.9269999999999998</v>
      </c>
      <c r="V8" s="102">
        <f t="shared" si="0"/>
        <v>1.974</v>
      </c>
      <c r="W8" s="102">
        <f t="shared" si="0"/>
        <v>2.0209999999999999</v>
      </c>
      <c r="X8" s="102">
        <f t="shared" si="0"/>
        <v>2.0680000000000001</v>
      </c>
    </row>
    <row r="16" spans="1:24" x14ac:dyDescent="0.45">
      <c r="A16" s="18" t="s">
        <v>90</v>
      </c>
    </row>
    <row r="17" spans="1:9" ht="90.5" customHeight="1" x14ac:dyDescent="0.45">
      <c r="A17" s="246" t="s">
        <v>287</v>
      </c>
      <c r="B17" s="245"/>
      <c r="C17" s="245"/>
      <c r="D17" s="245"/>
      <c r="E17" s="245"/>
      <c r="F17" s="245"/>
      <c r="G17" s="245"/>
      <c r="H17" s="245"/>
      <c r="I17" s="245"/>
    </row>
  </sheetData>
  <mergeCells count="2">
    <mergeCell ref="A1:X1"/>
    <mergeCell ref="A17:I17"/>
  </mergeCells>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Y18"/>
  <sheetViews>
    <sheetView topLeftCell="T1" workbookViewId="0">
      <selection activeCell="X11" sqref="E11:X11"/>
    </sheetView>
  </sheetViews>
  <sheetFormatPr defaultRowHeight="14.25" x14ac:dyDescent="0.45"/>
  <cols>
    <col min="1" max="1" width="15" customWidth="1"/>
    <col min="2" max="2" width="12" customWidth="1"/>
    <col min="3" max="3" width="35" customWidth="1"/>
    <col min="4" max="4" width="20" customWidth="1"/>
    <col min="5" max="24" width="10" customWidth="1"/>
  </cols>
  <sheetData>
    <row r="1" spans="1:25" x14ac:dyDescent="0.45">
      <c r="A1" s="233" t="s">
        <v>288</v>
      </c>
      <c r="B1" s="234"/>
      <c r="C1" s="234"/>
      <c r="D1" s="234"/>
      <c r="E1" s="234"/>
      <c r="F1" s="234"/>
      <c r="G1" s="234"/>
      <c r="H1" s="234"/>
      <c r="I1" s="234"/>
      <c r="J1" s="234"/>
      <c r="K1" s="234"/>
      <c r="L1" s="234"/>
      <c r="M1" s="234"/>
      <c r="N1" s="234"/>
      <c r="O1" s="234"/>
      <c r="P1" s="234"/>
      <c r="Q1" s="234"/>
      <c r="R1" s="234"/>
      <c r="S1" s="234"/>
      <c r="T1" s="234"/>
      <c r="U1" s="234"/>
      <c r="V1" s="234"/>
      <c r="W1" s="234"/>
      <c r="X1" s="235"/>
    </row>
    <row r="4" spans="1:25" x14ac:dyDescent="0.45">
      <c r="A4" s="1" t="s">
        <v>87</v>
      </c>
      <c r="B4" s="1" t="s">
        <v>88</v>
      </c>
      <c r="C4" s="1" t="s">
        <v>170</v>
      </c>
      <c r="D4" s="1" t="s">
        <v>90</v>
      </c>
      <c r="E4" s="64" t="s">
        <v>91</v>
      </c>
      <c r="F4" s="64" t="s">
        <v>92</v>
      </c>
      <c r="G4" s="64" t="s">
        <v>93</v>
      </c>
      <c r="H4" s="64" t="s">
        <v>94</v>
      </c>
      <c r="I4" s="64" t="s">
        <v>95</v>
      </c>
      <c r="J4" s="64" t="s">
        <v>96</v>
      </c>
      <c r="K4" s="64" t="s">
        <v>97</v>
      </c>
      <c r="L4" s="64" t="s">
        <v>98</v>
      </c>
      <c r="M4" s="64" t="s">
        <v>99</v>
      </c>
      <c r="N4" s="64" t="s">
        <v>100</v>
      </c>
      <c r="O4" s="64" t="s">
        <v>101</v>
      </c>
      <c r="P4" s="64" t="s">
        <v>102</v>
      </c>
      <c r="Q4" s="64" t="s">
        <v>103</v>
      </c>
      <c r="R4" s="64" t="s">
        <v>104</v>
      </c>
      <c r="S4" s="64" t="s">
        <v>105</v>
      </c>
      <c r="T4" s="64" t="s">
        <v>106</v>
      </c>
      <c r="U4" s="64" t="s">
        <v>107</v>
      </c>
      <c r="V4" s="64" t="s">
        <v>108</v>
      </c>
      <c r="W4" s="64" t="s">
        <v>109</v>
      </c>
      <c r="X4" s="64" t="s">
        <v>110</v>
      </c>
    </row>
    <row r="5" spans="1:25" x14ac:dyDescent="0.45">
      <c r="A5" t="s">
        <v>289</v>
      </c>
      <c r="B5" t="s">
        <v>220</v>
      </c>
      <c r="C5" t="s">
        <v>290</v>
      </c>
      <c r="D5" t="s">
        <v>291</v>
      </c>
      <c r="E5" s="99">
        <f>Assumptions!E8</f>
        <v>2000</v>
      </c>
      <c r="F5" s="99">
        <f>Assumptions!F8</f>
        <v>4000</v>
      </c>
      <c r="G5" s="99">
        <f>Assumptions!G8</f>
        <v>4000</v>
      </c>
      <c r="H5" s="99">
        <f>Assumptions!H8</f>
        <v>4000</v>
      </c>
      <c r="I5" s="99">
        <f>Assumptions!I8</f>
        <v>4000</v>
      </c>
      <c r="J5" s="99">
        <f>Assumptions!J8</f>
        <v>4000</v>
      </c>
      <c r="K5" s="99">
        <f>Assumptions!K8</f>
        <v>4000</v>
      </c>
      <c r="L5" s="99">
        <f>Assumptions!L8</f>
        <v>4000</v>
      </c>
      <c r="M5" s="99">
        <f>Assumptions!M8</f>
        <v>4000</v>
      </c>
      <c r="N5" s="99">
        <f>Assumptions!N8</f>
        <v>4000</v>
      </c>
      <c r="O5" s="99">
        <f>Assumptions!O8</f>
        <v>4000</v>
      </c>
      <c r="P5" s="99">
        <f>Assumptions!P8</f>
        <v>4000</v>
      </c>
      <c r="Q5" s="99">
        <f>Assumptions!Q8</f>
        <v>4000</v>
      </c>
      <c r="R5" s="99">
        <f>Assumptions!R8</f>
        <v>4000</v>
      </c>
      <c r="S5" s="99">
        <f>Assumptions!S8</f>
        <v>4000</v>
      </c>
      <c r="T5" s="99">
        <f>Assumptions!T8</f>
        <v>4000</v>
      </c>
      <c r="U5" s="99">
        <f>Assumptions!U8</f>
        <v>4000</v>
      </c>
      <c r="V5" s="99">
        <f>Assumptions!V8</f>
        <v>4000</v>
      </c>
      <c r="W5" s="99">
        <f>Assumptions!W8</f>
        <v>4000</v>
      </c>
      <c r="X5" s="99">
        <f>Assumptions!X8</f>
        <v>4000</v>
      </c>
    </row>
    <row r="6" spans="1:25" x14ac:dyDescent="0.45">
      <c r="A6" t="s">
        <v>292</v>
      </c>
      <c r="B6" t="s">
        <v>267</v>
      </c>
      <c r="C6" t="s">
        <v>293</v>
      </c>
      <c r="D6" t="s">
        <v>294</v>
      </c>
      <c r="E6" s="100">
        <v>47</v>
      </c>
      <c r="F6" s="100">
        <v>47</v>
      </c>
      <c r="G6" s="100">
        <v>47</v>
      </c>
      <c r="H6" s="100">
        <v>47</v>
      </c>
      <c r="I6" s="100">
        <v>47</v>
      </c>
      <c r="J6" s="100">
        <v>47</v>
      </c>
      <c r="K6" s="100">
        <v>47</v>
      </c>
      <c r="L6" s="100">
        <v>47</v>
      </c>
      <c r="M6" s="100">
        <v>47</v>
      </c>
      <c r="N6" s="100">
        <v>47</v>
      </c>
      <c r="O6" s="100">
        <v>47</v>
      </c>
      <c r="P6" s="100">
        <v>47</v>
      </c>
      <c r="Q6" s="100">
        <v>47</v>
      </c>
      <c r="R6" s="100">
        <v>47</v>
      </c>
      <c r="S6" s="100">
        <v>47</v>
      </c>
      <c r="T6" s="100">
        <v>47</v>
      </c>
      <c r="U6" s="100">
        <v>47</v>
      </c>
      <c r="V6" s="100">
        <v>47</v>
      </c>
      <c r="W6" s="100">
        <v>47</v>
      </c>
      <c r="X6" s="100">
        <v>47</v>
      </c>
      <c r="Y6" s="21" t="s">
        <v>295</v>
      </c>
    </row>
    <row r="7" spans="1:25" x14ac:dyDescent="0.45">
      <c r="A7" t="s">
        <v>296</v>
      </c>
      <c r="B7" t="s">
        <v>267</v>
      </c>
      <c r="C7" t="s">
        <v>297</v>
      </c>
      <c r="D7" t="s">
        <v>298</v>
      </c>
      <c r="E7" s="100">
        <f>E6+Assumptions!$B$21*1</f>
        <v>47.5</v>
      </c>
      <c r="F7" s="100">
        <f>F6+Assumptions!$B$21*2</f>
        <v>48</v>
      </c>
      <c r="G7" s="100">
        <f>G6+Assumptions!$B$21*3</f>
        <v>48.5</v>
      </c>
      <c r="H7" s="100">
        <f>H6+Assumptions!$B$21*4</f>
        <v>49</v>
      </c>
      <c r="I7" s="100">
        <f>I6+Assumptions!$B$21*5</f>
        <v>49.5</v>
      </c>
      <c r="J7" s="100">
        <f>J6+Assumptions!$B$21*6</f>
        <v>50</v>
      </c>
      <c r="K7" s="100">
        <f>K6+Assumptions!$B$21*7</f>
        <v>50.5</v>
      </c>
      <c r="L7" s="100">
        <f>L6+Assumptions!$B$21*8</f>
        <v>51</v>
      </c>
      <c r="M7" s="100">
        <f>M6+Assumptions!$B$21*9</f>
        <v>51.5</v>
      </c>
      <c r="N7" s="100">
        <f>N6+Assumptions!$B$21*10</f>
        <v>52</v>
      </c>
      <c r="O7" s="100">
        <f>O6+Assumptions!$B$21*11</f>
        <v>52.5</v>
      </c>
      <c r="P7" s="100">
        <f>P6+Assumptions!$B$21*12</f>
        <v>53</v>
      </c>
      <c r="Q7" s="100">
        <f>Q6+Assumptions!$B$21*13</f>
        <v>53.5</v>
      </c>
      <c r="R7" s="100">
        <f>R6+Assumptions!$B$21*14</f>
        <v>54</v>
      </c>
      <c r="S7" s="100">
        <f>S6+Assumptions!$B$21*15</f>
        <v>54.5</v>
      </c>
      <c r="T7" s="100">
        <f>T6+Assumptions!$B$21*16</f>
        <v>55</v>
      </c>
      <c r="U7" s="100">
        <f>U6+Assumptions!$B$21*17</f>
        <v>55.5</v>
      </c>
      <c r="V7" s="100">
        <f>V6+Assumptions!$B$21*18</f>
        <v>56</v>
      </c>
      <c r="W7" s="100">
        <f>W6+Assumptions!$B$21*19</f>
        <v>56.5</v>
      </c>
      <c r="X7" s="100">
        <f>X6+Assumptions!$B$21*20</f>
        <v>57</v>
      </c>
      <c r="Y7" s="21" t="s">
        <v>295</v>
      </c>
    </row>
    <row r="8" spans="1:25" x14ac:dyDescent="0.45">
      <c r="E8" s="3"/>
      <c r="F8" s="3"/>
      <c r="G8" s="3"/>
      <c r="H8" s="3"/>
      <c r="I8" s="3"/>
      <c r="J8" s="3"/>
      <c r="K8" s="3"/>
      <c r="L8" s="3"/>
      <c r="M8" s="3"/>
      <c r="N8" s="3"/>
      <c r="O8" s="3"/>
      <c r="P8" s="3"/>
      <c r="Q8" s="3"/>
      <c r="R8" s="3"/>
      <c r="S8" s="3"/>
      <c r="T8" s="3"/>
      <c r="U8" s="3"/>
      <c r="V8" s="3"/>
      <c r="W8" s="3"/>
      <c r="X8" s="3"/>
    </row>
    <row r="9" spans="1:25" s="7" customFormat="1" x14ac:dyDescent="0.45">
      <c r="A9" s="45" t="s">
        <v>299</v>
      </c>
      <c r="B9" s="45" t="s">
        <v>300</v>
      </c>
      <c r="C9" s="45" t="s">
        <v>22</v>
      </c>
      <c r="D9" s="46"/>
      <c r="E9" s="83">
        <f>E5*(E7-E6)</f>
        <v>1000</v>
      </c>
      <c r="F9" s="83">
        <f t="shared" ref="F9:X9" si="0">F5*(F7-F6)</f>
        <v>4000</v>
      </c>
      <c r="G9" s="83">
        <f t="shared" si="0"/>
        <v>6000</v>
      </c>
      <c r="H9" s="83">
        <f t="shared" si="0"/>
        <v>8000</v>
      </c>
      <c r="I9" s="83">
        <f t="shared" si="0"/>
        <v>10000</v>
      </c>
      <c r="J9" s="83">
        <f t="shared" si="0"/>
        <v>12000</v>
      </c>
      <c r="K9" s="83">
        <f t="shared" si="0"/>
        <v>14000</v>
      </c>
      <c r="L9" s="83">
        <f t="shared" si="0"/>
        <v>16000</v>
      </c>
      <c r="M9" s="83">
        <f t="shared" si="0"/>
        <v>18000</v>
      </c>
      <c r="N9" s="83">
        <f t="shared" si="0"/>
        <v>20000</v>
      </c>
      <c r="O9" s="83">
        <f t="shared" si="0"/>
        <v>22000</v>
      </c>
      <c r="P9" s="83">
        <f t="shared" si="0"/>
        <v>24000</v>
      </c>
      <c r="Q9" s="83">
        <f t="shared" si="0"/>
        <v>26000</v>
      </c>
      <c r="R9" s="83">
        <f t="shared" si="0"/>
        <v>28000</v>
      </c>
      <c r="S9" s="83">
        <f t="shared" si="0"/>
        <v>30000</v>
      </c>
      <c r="T9" s="83">
        <f t="shared" si="0"/>
        <v>32000</v>
      </c>
      <c r="U9" s="83">
        <f t="shared" si="0"/>
        <v>34000</v>
      </c>
      <c r="V9" s="83">
        <f t="shared" si="0"/>
        <v>36000</v>
      </c>
      <c r="W9" s="83">
        <f t="shared" si="0"/>
        <v>38000</v>
      </c>
      <c r="X9" s="83">
        <f t="shared" si="0"/>
        <v>40000</v>
      </c>
    </row>
    <row r="16" spans="1:25" x14ac:dyDescent="0.45">
      <c r="A16" s="18" t="s">
        <v>90</v>
      </c>
    </row>
    <row r="17" spans="1:9" ht="87.5" customHeight="1" x14ac:dyDescent="0.45">
      <c r="A17" s="246" t="s">
        <v>301</v>
      </c>
      <c r="B17" s="245"/>
      <c r="C17" s="245"/>
      <c r="D17" s="245"/>
      <c r="E17" s="245"/>
      <c r="F17" s="245"/>
      <c r="G17" s="245"/>
      <c r="H17" s="245"/>
      <c r="I17" s="245"/>
    </row>
    <row r="18" spans="1:9" x14ac:dyDescent="0.45">
      <c r="A18" s="22"/>
    </row>
  </sheetData>
  <mergeCells count="2">
    <mergeCell ref="A1:X1"/>
    <mergeCell ref="A17:I17"/>
  </mergeCells>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X17"/>
  <sheetViews>
    <sheetView workbookViewId="0">
      <selection sqref="A1:X1"/>
    </sheetView>
  </sheetViews>
  <sheetFormatPr defaultRowHeight="14.25" x14ac:dyDescent="0.45"/>
  <cols>
    <col min="1" max="1" width="17.33203125" customWidth="1"/>
    <col min="2" max="2" width="12" customWidth="1"/>
    <col min="3" max="3" width="35" customWidth="1"/>
    <col min="4" max="4" width="20" customWidth="1"/>
    <col min="5" max="24" width="10" customWidth="1"/>
  </cols>
  <sheetData>
    <row r="1" spans="1:24" x14ac:dyDescent="0.45">
      <c r="A1" s="233" t="s">
        <v>302</v>
      </c>
      <c r="B1" s="234"/>
      <c r="C1" s="234"/>
      <c r="D1" s="234"/>
      <c r="E1" s="234"/>
      <c r="F1" s="234"/>
      <c r="G1" s="234"/>
      <c r="H1" s="234"/>
      <c r="I1" s="234"/>
      <c r="J1" s="234"/>
      <c r="K1" s="234"/>
      <c r="L1" s="234"/>
      <c r="M1" s="234"/>
      <c r="N1" s="234"/>
      <c r="O1" s="234"/>
      <c r="P1" s="234"/>
      <c r="Q1" s="234"/>
      <c r="R1" s="234"/>
      <c r="S1" s="234"/>
      <c r="T1" s="234"/>
      <c r="U1" s="234"/>
      <c r="V1" s="234"/>
      <c r="W1" s="234"/>
      <c r="X1" s="235"/>
    </row>
    <row r="4" spans="1:24" x14ac:dyDescent="0.45">
      <c r="A4" s="1" t="s">
        <v>87</v>
      </c>
      <c r="B4" s="1" t="s">
        <v>88</v>
      </c>
      <c r="C4" s="1" t="s">
        <v>170</v>
      </c>
      <c r="D4" s="1" t="s">
        <v>90</v>
      </c>
      <c r="E4" s="64" t="s">
        <v>91</v>
      </c>
      <c r="F4" s="64" t="s">
        <v>92</v>
      </c>
      <c r="G4" s="64" t="s">
        <v>93</v>
      </c>
      <c r="H4" s="64" t="s">
        <v>94</v>
      </c>
      <c r="I4" s="64" t="s">
        <v>95</v>
      </c>
      <c r="J4" s="64" t="s">
        <v>96</v>
      </c>
      <c r="K4" s="64" t="s">
        <v>97</v>
      </c>
      <c r="L4" s="64" t="s">
        <v>98</v>
      </c>
      <c r="M4" s="64" t="s">
        <v>99</v>
      </c>
      <c r="N4" s="64" t="s">
        <v>100</v>
      </c>
      <c r="O4" s="64" t="s">
        <v>101</v>
      </c>
      <c r="P4" s="64" t="s">
        <v>102</v>
      </c>
      <c r="Q4" s="64" t="s">
        <v>103</v>
      </c>
      <c r="R4" s="64" t="s">
        <v>104</v>
      </c>
      <c r="S4" s="64" t="s">
        <v>105</v>
      </c>
      <c r="T4" s="64" t="s">
        <v>106</v>
      </c>
      <c r="U4" s="64" t="s">
        <v>107</v>
      </c>
      <c r="V4" s="64" t="s">
        <v>108</v>
      </c>
      <c r="W4" s="64" t="s">
        <v>109</v>
      </c>
      <c r="X4" s="64" t="s">
        <v>110</v>
      </c>
    </row>
    <row r="5" spans="1:24" x14ac:dyDescent="0.45">
      <c r="A5" t="s">
        <v>289</v>
      </c>
      <c r="B5" t="s">
        <v>303</v>
      </c>
      <c r="C5" t="s">
        <v>290</v>
      </c>
      <c r="D5" t="s">
        <v>291</v>
      </c>
      <c r="E5" s="99">
        <f>Assumptions!E8</f>
        <v>2000</v>
      </c>
      <c r="F5" s="99">
        <f>Assumptions!F8</f>
        <v>4000</v>
      </c>
      <c r="G5" s="99">
        <f>Assumptions!G8</f>
        <v>4000</v>
      </c>
      <c r="H5" s="99">
        <f>Assumptions!H8</f>
        <v>4000</v>
      </c>
      <c r="I5" s="99">
        <f>Assumptions!I8</f>
        <v>4000</v>
      </c>
      <c r="J5" s="99">
        <f>Assumptions!J8</f>
        <v>4000</v>
      </c>
      <c r="K5" s="99">
        <f>Assumptions!K8</f>
        <v>4000</v>
      </c>
      <c r="L5" s="99">
        <f>Assumptions!L8</f>
        <v>4000</v>
      </c>
      <c r="M5" s="99">
        <f>Assumptions!M8</f>
        <v>4000</v>
      </c>
      <c r="N5" s="99">
        <f>Assumptions!N8</f>
        <v>4000</v>
      </c>
      <c r="O5" s="99">
        <f>Assumptions!O8</f>
        <v>4000</v>
      </c>
      <c r="P5" s="99">
        <f>Assumptions!P8</f>
        <v>4000</v>
      </c>
      <c r="Q5" s="99">
        <f>Assumptions!Q8</f>
        <v>4000</v>
      </c>
      <c r="R5" s="99">
        <f>Assumptions!R8</f>
        <v>4000</v>
      </c>
      <c r="S5" s="99">
        <f>Assumptions!S8</f>
        <v>4000</v>
      </c>
      <c r="T5" s="99">
        <f>Assumptions!T8</f>
        <v>4000</v>
      </c>
      <c r="U5" s="99">
        <f>Assumptions!U8</f>
        <v>4000</v>
      </c>
      <c r="V5" s="99">
        <f>Assumptions!V8</f>
        <v>4000</v>
      </c>
      <c r="W5" s="99">
        <f>Assumptions!W8</f>
        <v>4000</v>
      </c>
      <c r="X5" s="99">
        <f>Assumptions!X8</f>
        <v>4000</v>
      </c>
    </row>
    <row r="6" spans="1:24" x14ac:dyDescent="0.45">
      <c r="A6" t="s">
        <v>304</v>
      </c>
      <c r="B6" t="s">
        <v>267</v>
      </c>
      <c r="C6" t="s">
        <v>305</v>
      </c>
      <c r="D6" t="s">
        <v>306</v>
      </c>
      <c r="E6" s="100">
        <v>0</v>
      </c>
      <c r="F6" s="100">
        <v>0</v>
      </c>
      <c r="G6" s="100">
        <v>0</v>
      </c>
      <c r="H6" s="100">
        <v>0</v>
      </c>
      <c r="I6" s="100">
        <v>0</v>
      </c>
      <c r="J6" s="100">
        <v>0</v>
      </c>
      <c r="K6" s="100">
        <v>0</v>
      </c>
      <c r="L6" s="100">
        <v>0</v>
      </c>
      <c r="M6" s="100">
        <v>0</v>
      </c>
      <c r="N6" s="100">
        <v>0</v>
      </c>
      <c r="O6" s="100">
        <v>0</v>
      </c>
      <c r="P6" s="100">
        <v>0</v>
      </c>
      <c r="Q6" s="100">
        <v>0</v>
      </c>
      <c r="R6" s="100">
        <v>0</v>
      </c>
      <c r="S6" s="100">
        <v>0</v>
      </c>
      <c r="T6" s="100">
        <v>0</v>
      </c>
      <c r="U6" s="100">
        <v>0</v>
      </c>
      <c r="V6" s="100">
        <v>0</v>
      </c>
      <c r="W6" s="100">
        <v>0</v>
      </c>
      <c r="X6" s="100">
        <v>0</v>
      </c>
    </row>
    <row r="7" spans="1:24" x14ac:dyDescent="0.45">
      <c r="A7" t="s">
        <v>239</v>
      </c>
      <c r="B7" t="s">
        <v>267</v>
      </c>
      <c r="C7" t="s">
        <v>307</v>
      </c>
      <c r="D7" t="s">
        <v>308</v>
      </c>
      <c r="E7" s="113">
        <f>Eq4_CWP_woody!E9</f>
        <v>1.1159999999999999</v>
      </c>
      <c r="F7" s="115">
        <f>Eq4_CWP_woody!F9</f>
        <v>5.2080000000000002</v>
      </c>
      <c r="G7" s="108">
        <f>Eq4_CWP_woody!G9</f>
        <v>20.46</v>
      </c>
      <c r="H7" s="108">
        <f>Eq4_CWP_woody!H9</f>
        <v>39.06</v>
      </c>
      <c r="I7" s="108">
        <f>Eq4_CWP_woody!I9</f>
        <v>65.099999999999994</v>
      </c>
      <c r="J7" s="108">
        <f>Eq4_CWP_woody!J9</f>
        <v>86.8</v>
      </c>
      <c r="K7" s="108">
        <f>Eq4_CWP_woody!K9</f>
        <v>117.17999999999999</v>
      </c>
      <c r="L7" s="108">
        <f>Eq4_CWP_woody!L9</f>
        <v>151.9</v>
      </c>
      <c r="M7" s="108">
        <f>Eq4_CWP_woody!M9</f>
        <v>173.6</v>
      </c>
      <c r="N7" s="108">
        <f>Eq4_CWP_woody!N9</f>
        <v>195.3</v>
      </c>
      <c r="O7" s="108">
        <f>Eq4_CWP_woody!O9</f>
        <v>217</v>
      </c>
      <c r="P7" s="108">
        <f>Eq4_CWP_woody!P9</f>
        <v>238.7</v>
      </c>
      <c r="Q7" s="108">
        <f>Eq4_CWP_woody!Q9</f>
        <v>260.39999999999998</v>
      </c>
      <c r="R7" s="108">
        <f>Eq4_CWP_woody!R9</f>
        <v>282.10000000000002</v>
      </c>
      <c r="S7" s="108">
        <f>Eq4_CWP_woody!S9</f>
        <v>303.8</v>
      </c>
      <c r="T7" s="108">
        <f>Eq4_CWP_woody!T9</f>
        <v>325.5</v>
      </c>
      <c r="U7" s="108">
        <f>Eq4_CWP_woody!U9</f>
        <v>338.52</v>
      </c>
      <c r="V7" s="108">
        <f>Eq4_CWP_woody!V9</f>
        <v>347.2</v>
      </c>
      <c r="W7" s="108">
        <f>Eq4_CWP_woody!W9</f>
        <v>355.88</v>
      </c>
      <c r="X7" s="108">
        <f>Eq4_CWP_woody!X9</f>
        <v>364.56</v>
      </c>
    </row>
    <row r="8" spans="1:24" x14ac:dyDescent="0.45">
      <c r="E8" s="6"/>
      <c r="F8" s="6"/>
      <c r="G8" s="6"/>
      <c r="H8" s="6"/>
      <c r="I8" s="6"/>
      <c r="J8" s="6"/>
      <c r="K8" s="6"/>
      <c r="L8" s="6"/>
      <c r="M8" s="6"/>
      <c r="N8" s="6"/>
      <c r="O8" s="6"/>
      <c r="P8" s="6"/>
      <c r="Q8" s="6"/>
      <c r="R8" s="6"/>
      <c r="S8" s="6"/>
      <c r="T8" s="6"/>
      <c r="U8" s="6"/>
      <c r="V8" s="6"/>
      <c r="W8" s="6"/>
      <c r="X8" s="6"/>
    </row>
    <row r="9" spans="1:24" s="7" customFormat="1" x14ac:dyDescent="0.45">
      <c r="A9" s="45" t="s">
        <v>309</v>
      </c>
      <c r="B9" s="45" t="s">
        <v>300</v>
      </c>
      <c r="C9" s="45" t="s">
        <v>25</v>
      </c>
      <c r="D9" s="46"/>
      <c r="E9" s="83">
        <f>E5*(E7-E6)</f>
        <v>2231.9999999999995</v>
      </c>
      <c r="F9" s="83">
        <f>F5*(F7-F6)</f>
        <v>20832</v>
      </c>
      <c r="G9" s="83">
        <f t="shared" ref="G9:X9" si="0">G5*(G7-G6)</f>
        <v>81840</v>
      </c>
      <c r="H9" s="83">
        <f t="shared" si="0"/>
        <v>156240</v>
      </c>
      <c r="I9" s="83">
        <f t="shared" si="0"/>
        <v>260399.99999999997</v>
      </c>
      <c r="J9" s="83">
        <f t="shared" si="0"/>
        <v>347200</v>
      </c>
      <c r="K9" s="83">
        <f t="shared" si="0"/>
        <v>468719.99999999994</v>
      </c>
      <c r="L9" s="83">
        <f t="shared" si="0"/>
        <v>607600</v>
      </c>
      <c r="M9" s="83">
        <f t="shared" si="0"/>
        <v>694400</v>
      </c>
      <c r="N9" s="83">
        <f t="shared" si="0"/>
        <v>781200</v>
      </c>
      <c r="O9" s="83">
        <f t="shared" si="0"/>
        <v>868000</v>
      </c>
      <c r="P9" s="83">
        <f t="shared" si="0"/>
        <v>954800</v>
      </c>
      <c r="Q9" s="83">
        <f t="shared" si="0"/>
        <v>1041599.9999999999</v>
      </c>
      <c r="R9" s="83">
        <f t="shared" si="0"/>
        <v>1128400</v>
      </c>
      <c r="S9" s="83">
        <f t="shared" si="0"/>
        <v>1215200</v>
      </c>
      <c r="T9" s="83">
        <f t="shared" si="0"/>
        <v>1302000</v>
      </c>
      <c r="U9" s="83">
        <f t="shared" si="0"/>
        <v>1354080</v>
      </c>
      <c r="V9" s="83">
        <f t="shared" si="0"/>
        <v>1388800</v>
      </c>
      <c r="W9" s="83">
        <f t="shared" si="0"/>
        <v>1423520</v>
      </c>
      <c r="X9" s="83">
        <f t="shared" si="0"/>
        <v>1458240</v>
      </c>
    </row>
    <row r="16" spans="1:24" x14ac:dyDescent="0.45">
      <c r="A16" s="18" t="s">
        <v>90</v>
      </c>
    </row>
    <row r="17" spans="1:9" x14ac:dyDescent="0.45">
      <c r="A17" s="248" t="s">
        <v>310</v>
      </c>
      <c r="B17" s="248"/>
      <c r="C17" s="248"/>
      <c r="D17" s="248"/>
      <c r="E17" s="248"/>
      <c r="F17" s="248"/>
      <c r="G17" s="248"/>
      <c r="H17" s="248"/>
      <c r="I17" s="248"/>
    </row>
  </sheetData>
  <mergeCells count="2">
    <mergeCell ref="A1:X1"/>
    <mergeCell ref="A17:I17"/>
  </mergeCells>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X17"/>
  <sheetViews>
    <sheetView topLeftCell="D1" workbookViewId="0">
      <selection sqref="A1:X1"/>
    </sheetView>
  </sheetViews>
  <sheetFormatPr defaultRowHeight="14.25" x14ac:dyDescent="0.45"/>
  <cols>
    <col min="1" max="1" width="15" customWidth="1"/>
    <col min="2" max="2" width="12" customWidth="1"/>
    <col min="3" max="3" width="36" customWidth="1"/>
    <col min="4" max="4" width="20" customWidth="1"/>
    <col min="5" max="24" width="10" customWidth="1"/>
  </cols>
  <sheetData>
    <row r="1" spans="1:24" x14ac:dyDescent="0.45">
      <c r="A1" s="233" t="s">
        <v>311</v>
      </c>
      <c r="B1" s="234"/>
      <c r="C1" s="234"/>
      <c r="D1" s="234"/>
      <c r="E1" s="234"/>
      <c r="F1" s="234"/>
      <c r="G1" s="234"/>
      <c r="H1" s="234"/>
      <c r="I1" s="234"/>
      <c r="J1" s="234"/>
      <c r="K1" s="234"/>
      <c r="L1" s="234"/>
      <c r="M1" s="234"/>
      <c r="N1" s="234"/>
      <c r="O1" s="234"/>
      <c r="P1" s="234"/>
      <c r="Q1" s="234"/>
      <c r="R1" s="234"/>
      <c r="S1" s="234"/>
      <c r="T1" s="234"/>
      <c r="U1" s="234"/>
      <c r="V1" s="234"/>
      <c r="W1" s="234"/>
      <c r="X1" s="235"/>
    </row>
    <row r="4" spans="1:24" x14ac:dyDescent="0.45">
      <c r="A4" s="1" t="s">
        <v>87</v>
      </c>
      <c r="B4" s="1" t="s">
        <v>88</v>
      </c>
      <c r="C4" s="1" t="s">
        <v>170</v>
      </c>
      <c r="D4" s="1" t="s">
        <v>90</v>
      </c>
      <c r="E4" s="64" t="s">
        <v>91</v>
      </c>
      <c r="F4" s="64" t="s">
        <v>92</v>
      </c>
      <c r="G4" s="64" t="s">
        <v>93</v>
      </c>
      <c r="H4" s="64" t="s">
        <v>94</v>
      </c>
      <c r="I4" s="64" t="s">
        <v>95</v>
      </c>
      <c r="J4" s="64" t="s">
        <v>96</v>
      </c>
      <c r="K4" s="64" t="s">
        <v>97</v>
      </c>
      <c r="L4" s="64" t="s">
        <v>98</v>
      </c>
      <c r="M4" s="64" t="s">
        <v>99</v>
      </c>
      <c r="N4" s="64" t="s">
        <v>100</v>
      </c>
      <c r="O4" s="64" t="s">
        <v>101</v>
      </c>
      <c r="P4" s="64" t="s">
        <v>102</v>
      </c>
      <c r="Q4" s="64" t="s">
        <v>103</v>
      </c>
      <c r="R4" s="64" t="s">
        <v>104</v>
      </c>
      <c r="S4" s="64" t="s">
        <v>105</v>
      </c>
      <c r="T4" s="64" t="s">
        <v>106</v>
      </c>
      <c r="U4" s="64" t="s">
        <v>107</v>
      </c>
      <c r="V4" s="64" t="s">
        <v>108</v>
      </c>
      <c r="W4" s="64" t="s">
        <v>109</v>
      </c>
      <c r="X4" s="64" t="s">
        <v>110</v>
      </c>
    </row>
    <row r="5" spans="1:24" x14ac:dyDescent="0.45">
      <c r="A5" t="s">
        <v>289</v>
      </c>
      <c r="B5" t="s">
        <v>220</v>
      </c>
      <c r="C5" t="s">
        <v>290</v>
      </c>
      <c r="D5" t="s">
        <v>291</v>
      </c>
      <c r="E5" s="99">
        <f>Assumptions!E8</f>
        <v>2000</v>
      </c>
      <c r="F5" s="99">
        <f>Assumptions!F8</f>
        <v>4000</v>
      </c>
      <c r="G5" s="99">
        <f>Assumptions!G8</f>
        <v>4000</v>
      </c>
      <c r="H5" s="99">
        <f>Assumptions!H8</f>
        <v>4000</v>
      </c>
      <c r="I5" s="99">
        <f>Assumptions!I8</f>
        <v>4000</v>
      </c>
      <c r="J5" s="99">
        <f>Assumptions!J8</f>
        <v>4000</v>
      </c>
      <c r="K5" s="99">
        <f>Assumptions!K8</f>
        <v>4000</v>
      </c>
      <c r="L5" s="99">
        <f>Assumptions!L8</f>
        <v>4000</v>
      </c>
      <c r="M5" s="99">
        <f>Assumptions!M8</f>
        <v>4000</v>
      </c>
      <c r="N5" s="99">
        <f>Assumptions!N8</f>
        <v>4000</v>
      </c>
      <c r="O5" s="99">
        <f>Assumptions!O8</f>
        <v>4000</v>
      </c>
      <c r="P5" s="99">
        <f>Assumptions!P8</f>
        <v>4000</v>
      </c>
      <c r="Q5" s="99">
        <f>Assumptions!Q8</f>
        <v>4000</v>
      </c>
      <c r="R5" s="99">
        <f>Assumptions!R8</f>
        <v>4000</v>
      </c>
      <c r="S5" s="99">
        <f>Assumptions!S8</f>
        <v>4000</v>
      </c>
      <c r="T5" s="99">
        <f>Assumptions!T8</f>
        <v>4000</v>
      </c>
      <c r="U5" s="99">
        <f>Assumptions!U8</f>
        <v>4000</v>
      </c>
      <c r="V5" s="99">
        <f>Assumptions!V8</f>
        <v>4000</v>
      </c>
      <c r="W5" s="99">
        <f>Assumptions!W8</f>
        <v>4000</v>
      </c>
      <c r="X5" s="99">
        <f>Assumptions!X8</f>
        <v>4000</v>
      </c>
    </row>
    <row r="6" spans="1:24" x14ac:dyDescent="0.45">
      <c r="A6" t="s">
        <v>312</v>
      </c>
      <c r="B6" t="s">
        <v>267</v>
      </c>
      <c r="C6" t="s">
        <v>313</v>
      </c>
      <c r="D6" t="s">
        <v>306</v>
      </c>
      <c r="E6" s="100">
        <v>0</v>
      </c>
      <c r="F6" s="100">
        <v>0</v>
      </c>
      <c r="G6" s="100">
        <v>0</v>
      </c>
      <c r="H6" s="100">
        <v>0</v>
      </c>
      <c r="I6" s="100">
        <v>0</v>
      </c>
      <c r="J6" s="100">
        <v>0</v>
      </c>
      <c r="K6" s="100">
        <v>0</v>
      </c>
      <c r="L6" s="100">
        <v>0</v>
      </c>
      <c r="M6" s="100">
        <v>0</v>
      </c>
      <c r="N6" s="100">
        <v>0</v>
      </c>
      <c r="O6" s="100">
        <v>0</v>
      </c>
      <c r="P6" s="100">
        <v>0</v>
      </c>
      <c r="Q6" s="100">
        <v>0</v>
      </c>
      <c r="R6" s="100">
        <v>0</v>
      </c>
      <c r="S6" s="100">
        <v>0</v>
      </c>
      <c r="T6" s="100">
        <v>0</v>
      </c>
      <c r="U6" s="100">
        <v>0</v>
      </c>
      <c r="V6" s="100">
        <v>0</v>
      </c>
      <c r="W6" s="100">
        <v>0</v>
      </c>
      <c r="X6" s="100">
        <v>0</v>
      </c>
    </row>
    <row r="7" spans="1:24" x14ac:dyDescent="0.45">
      <c r="A7" t="s">
        <v>252</v>
      </c>
      <c r="B7" t="s">
        <v>267</v>
      </c>
      <c r="C7" t="s">
        <v>314</v>
      </c>
      <c r="D7" t="s">
        <v>315</v>
      </c>
      <c r="E7" s="114">
        <f>Eq6_CWP_herb!E8</f>
        <v>1.41</v>
      </c>
      <c r="F7" s="114">
        <f>Eq6_CWP_herb!F8</f>
        <v>1.41</v>
      </c>
      <c r="G7" s="114">
        <f>Eq6_CWP_herb!G8</f>
        <v>0.94</v>
      </c>
      <c r="H7" s="114">
        <f>Eq6_CWP_herb!H8</f>
        <v>0.94</v>
      </c>
      <c r="I7" s="114">
        <f>Eq6_CWP_herb!I8</f>
        <v>0.70499999999999996</v>
      </c>
      <c r="J7" s="114">
        <f>Eq6_CWP_herb!J8</f>
        <v>0.47</v>
      </c>
      <c r="K7" s="114">
        <f>Eq6_CWP_herb!K8</f>
        <v>0.47</v>
      </c>
      <c r="L7" s="114">
        <f>Eq6_CWP_herb!L8</f>
        <v>0.35249999999999998</v>
      </c>
      <c r="M7" s="114">
        <f>Eq6_CWP_herb!M8</f>
        <v>0.35249999999999998</v>
      </c>
      <c r="N7" s="114">
        <f>Eq6_CWP_herb!N8</f>
        <v>0.23499999999999999</v>
      </c>
      <c r="O7" s="114">
        <f>Eq6_CWP_herb!O8</f>
        <v>0.23499999999999999</v>
      </c>
      <c r="P7" s="114">
        <f>Eq6_CWP_herb!P8</f>
        <v>0.188</v>
      </c>
      <c r="Q7" s="114">
        <f>Eq6_CWP_herb!Q8</f>
        <v>0.188</v>
      </c>
      <c r="R7" s="114">
        <f>Eq6_CWP_herb!R8</f>
        <v>0.14099999999999999</v>
      </c>
      <c r="S7" s="114">
        <f>Eq6_CWP_herb!S8</f>
        <v>0.14099999999999999</v>
      </c>
      <c r="T7" s="114">
        <f>Eq6_CWP_herb!T8</f>
        <v>9.4E-2</v>
      </c>
      <c r="U7" s="114">
        <f>Eq6_CWP_herb!U8</f>
        <v>9.4E-2</v>
      </c>
      <c r="V7" s="114">
        <f>Eq6_CWP_herb!V8</f>
        <v>4.7E-2</v>
      </c>
      <c r="W7" s="114">
        <f>Eq6_CWP_herb!W8</f>
        <v>4.7E-2</v>
      </c>
      <c r="X7" s="114">
        <f>Eq6_CWP_herb!X8</f>
        <v>4.7E-2</v>
      </c>
    </row>
    <row r="8" spans="1:24" x14ac:dyDescent="0.45">
      <c r="E8" s="3"/>
      <c r="F8" s="3"/>
      <c r="G8" s="3"/>
      <c r="H8" s="3"/>
      <c r="I8" s="3"/>
      <c r="J8" s="3"/>
      <c r="K8" s="3"/>
      <c r="L8" s="3"/>
      <c r="M8" s="3"/>
      <c r="N8" s="3"/>
      <c r="O8" s="3"/>
      <c r="P8" s="3"/>
      <c r="Q8" s="3"/>
      <c r="R8" s="3"/>
      <c r="S8" s="3"/>
      <c r="T8" s="3"/>
      <c r="U8" s="3"/>
      <c r="V8" s="3"/>
      <c r="W8" s="3"/>
      <c r="X8" s="3"/>
    </row>
    <row r="9" spans="1:24" s="7" customFormat="1" x14ac:dyDescent="0.45">
      <c r="A9" s="45" t="s">
        <v>316</v>
      </c>
      <c r="B9" s="45" t="s">
        <v>300</v>
      </c>
      <c r="C9" s="45" t="s">
        <v>29</v>
      </c>
      <c r="D9" s="46"/>
      <c r="E9" s="83">
        <f t="shared" ref="E9:X9" si="0">E5*(E7-E6)</f>
        <v>2820</v>
      </c>
      <c r="F9" s="83">
        <f t="shared" si="0"/>
        <v>5640</v>
      </c>
      <c r="G9" s="83">
        <f t="shared" si="0"/>
        <v>3760</v>
      </c>
      <c r="H9" s="83">
        <f t="shared" si="0"/>
        <v>3760</v>
      </c>
      <c r="I9" s="83">
        <f t="shared" si="0"/>
        <v>2820</v>
      </c>
      <c r="J9" s="83">
        <f t="shared" si="0"/>
        <v>1880</v>
      </c>
      <c r="K9" s="83">
        <f t="shared" si="0"/>
        <v>1880</v>
      </c>
      <c r="L9" s="83">
        <f t="shared" si="0"/>
        <v>1410</v>
      </c>
      <c r="M9" s="83">
        <f t="shared" si="0"/>
        <v>1410</v>
      </c>
      <c r="N9" s="83">
        <f t="shared" si="0"/>
        <v>940</v>
      </c>
      <c r="O9" s="83">
        <f t="shared" si="0"/>
        <v>940</v>
      </c>
      <c r="P9" s="83">
        <f t="shared" si="0"/>
        <v>752</v>
      </c>
      <c r="Q9" s="83">
        <f t="shared" si="0"/>
        <v>752</v>
      </c>
      <c r="R9" s="83">
        <f t="shared" si="0"/>
        <v>564</v>
      </c>
      <c r="S9" s="83">
        <f t="shared" si="0"/>
        <v>564</v>
      </c>
      <c r="T9" s="83">
        <f t="shared" si="0"/>
        <v>376</v>
      </c>
      <c r="U9" s="83">
        <f t="shared" si="0"/>
        <v>376</v>
      </c>
      <c r="V9" s="83">
        <f t="shared" si="0"/>
        <v>188</v>
      </c>
      <c r="W9" s="83">
        <f t="shared" si="0"/>
        <v>188</v>
      </c>
      <c r="X9" s="83">
        <f t="shared" si="0"/>
        <v>188</v>
      </c>
    </row>
    <row r="16" spans="1:24" x14ac:dyDescent="0.45">
      <c r="A16" s="18" t="s">
        <v>90</v>
      </c>
    </row>
    <row r="17" spans="1:9" x14ac:dyDescent="0.45">
      <c r="A17" s="248" t="s">
        <v>317</v>
      </c>
      <c r="B17" s="248"/>
      <c r="C17" s="248"/>
      <c r="D17" s="248"/>
      <c r="E17" s="248"/>
      <c r="F17" s="248"/>
      <c r="G17" s="248"/>
      <c r="H17" s="248"/>
      <c r="I17" s="248"/>
    </row>
  </sheetData>
  <mergeCells count="2">
    <mergeCell ref="A1:X1"/>
    <mergeCell ref="A17:I17"/>
  </mergeCells>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X17"/>
  <sheetViews>
    <sheetView workbookViewId="0"/>
  </sheetViews>
  <sheetFormatPr defaultRowHeight="14.25" x14ac:dyDescent="0.45"/>
  <cols>
    <col min="1" max="1" width="15" customWidth="1"/>
    <col min="2" max="2" width="12" customWidth="1"/>
    <col min="3" max="3" width="35" customWidth="1"/>
    <col min="4" max="4" width="20" customWidth="1"/>
    <col min="5" max="24" width="10" customWidth="1"/>
  </cols>
  <sheetData>
    <row r="1" spans="1:24" x14ac:dyDescent="0.45">
      <c r="A1" s="233" t="s">
        <v>318</v>
      </c>
      <c r="B1" s="234"/>
      <c r="C1" s="234"/>
      <c r="D1" s="234"/>
      <c r="E1" s="234"/>
      <c r="F1" s="234"/>
      <c r="G1" s="234"/>
      <c r="H1" s="234"/>
      <c r="I1" s="234"/>
      <c r="J1" s="234"/>
      <c r="K1" s="234"/>
      <c r="L1" s="234"/>
      <c r="M1" s="234"/>
      <c r="N1" s="234"/>
      <c r="O1" s="234"/>
      <c r="P1" s="234"/>
      <c r="Q1" s="234"/>
      <c r="R1" s="234"/>
      <c r="S1" s="234"/>
      <c r="T1" s="234"/>
      <c r="U1" s="234"/>
      <c r="V1" s="234"/>
      <c r="W1" s="234"/>
      <c r="X1" s="235"/>
    </row>
    <row r="4" spans="1:24" x14ac:dyDescent="0.45">
      <c r="A4" s="1" t="s">
        <v>87</v>
      </c>
      <c r="B4" s="1" t="s">
        <v>88</v>
      </c>
      <c r="C4" s="1" t="s">
        <v>170</v>
      </c>
      <c r="D4" s="1" t="s">
        <v>90</v>
      </c>
      <c r="E4" s="64" t="s">
        <v>91</v>
      </c>
      <c r="F4" s="64" t="s">
        <v>92</v>
      </c>
      <c r="G4" s="64" t="s">
        <v>93</v>
      </c>
      <c r="H4" s="64" t="s">
        <v>94</v>
      </c>
      <c r="I4" s="64" t="s">
        <v>95</v>
      </c>
      <c r="J4" s="64" t="s">
        <v>96</v>
      </c>
      <c r="K4" s="64" t="s">
        <v>97</v>
      </c>
      <c r="L4" s="64" t="s">
        <v>98</v>
      </c>
      <c r="M4" s="64" t="s">
        <v>99</v>
      </c>
      <c r="N4" s="64" t="s">
        <v>100</v>
      </c>
      <c r="O4" s="64" t="s">
        <v>101</v>
      </c>
      <c r="P4" s="64" t="s">
        <v>102</v>
      </c>
      <c r="Q4" s="64" t="s">
        <v>103</v>
      </c>
      <c r="R4" s="64" t="s">
        <v>104</v>
      </c>
      <c r="S4" s="64" t="s">
        <v>105</v>
      </c>
      <c r="T4" s="64" t="s">
        <v>106</v>
      </c>
      <c r="U4" s="64" t="s">
        <v>107</v>
      </c>
      <c r="V4" s="64" t="s">
        <v>108</v>
      </c>
      <c r="W4" s="64" t="s">
        <v>109</v>
      </c>
      <c r="X4" s="64" t="s">
        <v>110</v>
      </c>
    </row>
    <row r="5" spans="1:24" x14ac:dyDescent="0.45">
      <c r="A5" t="s">
        <v>289</v>
      </c>
      <c r="B5" t="s">
        <v>220</v>
      </c>
      <c r="C5" t="s">
        <v>290</v>
      </c>
      <c r="D5" t="s">
        <v>291</v>
      </c>
      <c r="E5" s="99">
        <f>Assumptions!E8</f>
        <v>2000</v>
      </c>
      <c r="F5" s="99">
        <f>Assumptions!F8</f>
        <v>4000</v>
      </c>
      <c r="G5" s="99">
        <f>Assumptions!G8</f>
        <v>4000</v>
      </c>
      <c r="H5" s="99">
        <f>Assumptions!H8</f>
        <v>4000</v>
      </c>
      <c r="I5" s="99">
        <f>Assumptions!I8</f>
        <v>4000</v>
      </c>
      <c r="J5" s="99">
        <f>Assumptions!J8</f>
        <v>4000</v>
      </c>
      <c r="K5" s="99">
        <f>Assumptions!K8</f>
        <v>4000</v>
      </c>
      <c r="L5" s="99">
        <f>Assumptions!L8</f>
        <v>4000</v>
      </c>
      <c r="M5" s="99">
        <f>Assumptions!M8</f>
        <v>4000</v>
      </c>
      <c r="N5" s="99">
        <f>Assumptions!N8</f>
        <v>4000</v>
      </c>
      <c r="O5" s="99">
        <f>Assumptions!O8</f>
        <v>4000</v>
      </c>
      <c r="P5" s="99">
        <f>Assumptions!P8</f>
        <v>4000</v>
      </c>
      <c r="Q5" s="99">
        <f>Assumptions!Q8</f>
        <v>4000</v>
      </c>
      <c r="R5" s="99">
        <f>Assumptions!R8</f>
        <v>4000</v>
      </c>
      <c r="S5" s="99">
        <f>Assumptions!S8</f>
        <v>4000</v>
      </c>
      <c r="T5" s="99">
        <f>Assumptions!T8</f>
        <v>4000</v>
      </c>
      <c r="U5" s="99">
        <f>Assumptions!U8</f>
        <v>4000</v>
      </c>
      <c r="V5" s="99">
        <f>Assumptions!V8</f>
        <v>4000</v>
      </c>
      <c r="W5" s="99">
        <f>Assumptions!W8</f>
        <v>4000</v>
      </c>
      <c r="X5" s="99">
        <f>Assumptions!X8</f>
        <v>4000</v>
      </c>
    </row>
    <row r="6" spans="1:24" x14ac:dyDescent="0.45">
      <c r="A6" t="s">
        <v>319</v>
      </c>
      <c r="B6" t="s">
        <v>267</v>
      </c>
      <c r="C6" t="s">
        <v>320</v>
      </c>
      <c r="D6" t="s">
        <v>306</v>
      </c>
      <c r="E6" s="100">
        <v>0</v>
      </c>
      <c r="F6" s="100">
        <v>0</v>
      </c>
      <c r="G6" s="100">
        <v>0</v>
      </c>
      <c r="H6" s="100">
        <v>0</v>
      </c>
      <c r="I6" s="100">
        <v>0</v>
      </c>
      <c r="J6" s="100">
        <v>0</v>
      </c>
      <c r="K6" s="100">
        <v>0</v>
      </c>
      <c r="L6" s="100">
        <v>0</v>
      </c>
      <c r="M6" s="100">
        <v>0</v>
      </c>
      <c r="N6" s="100">
        <v>0</v>
      </c>
      <c r="O6" s="100">
        <v>0</v>
      </c>
      <c r="P6" s="100">
        <v>0</v>
      </c>
      <c r="Q6" s="100">
        <v>0</v>
      </c>
      <c r="R6" s="100">
        <v>0</v>
      </c>
      <c r="S6" s="100">
        <v>0</v>
      </c>
      <c r="T6" s="100">
        <v>0</v>
      </c>
      <c r="U6" s="100">
        <v>0</v>
      </c>
      <c r="V6" s="100">
        <v>0</v>
      </c>
      <c r="W6" s="100">
        <v>0</v>
      </c>
      <c r="X6" s="100">
        <v>0</v>
      </c>
    </row>
    <row r="7" spans="1:24" x14ac:dyDescent="0.45">
      <c r="A7" t="s">
        <v>266</v>
      </c>
      <c r="B7" t="s">
        <v>267</v>
      </c>
      <c r="C7" t="s">
        <v>321</v>
      </c>
      <c r="D7" t="s">
        <v>322</v>
      </c>
      <c r="E7" s="115">
        <f>Eq8_CWP_DW!E9</f>
        <v>1.2689999999999998E-2</v>
      </c>
      <c r="F7" s="115">
        <f>Eq8_CWP_DW!F9</f>
        <v>5.9219999999999995E-2</v>
      </c>
      <c r="G7" s="115">
        <f>Eq8_CWP_DW!G9</f>
        <v>0.23265</v>
      </c>
      <c r="H7" s="115">
        <f>Eq8_CWP_DW!H9</f>
        <v>0.44414999999999999</v>
      </c>
      <c r="I7" s="115">
        <f>Eq8_CWP_DW!I9</f>
        <v>0.74025000000000007</v>
      </c>
      <c r="J7" s="108">
        <f>Eq8_CWP_DW!J9</f>
        <v>3.6190000000000002</v>
      </c>
      <c r="K7" s="108">
        <f>Eq8_CWP_DW!K9</f>
        <v>4.8856499999999992</v>
      </c>
      <c r="L7" s="108">
        <f>Eq8_CWP_DW!L9</f>
        <v>6.3332500000000005</v>
      </c>
      <c r="M7" s="108">
        <f>Eq8_CWP_DW!M9</f>
        <v>7.2380000000000004</v>
      </c>
      <c r="N7" s="108">
        <f>Eq8_CWP_DW!N9</f>
        <v>8.1427499999999995</v>
      </c>
      <c r="O7" s="108">
        <f>Eq8_CWP_DW!O9</f>
        <v>13.9825</v>
      </c>
      <c r="P7" s="108">
        <f>Eq8_CWP_DW!P9</f>
        <v>15.380749999999997</v>
      </c>
      <c r="Q7" s="108">
        <f>Eq8_CWP_DW!Q9</f>
        <v>16.779</v>
      </c>
      <c r="R7" s="108">
        <f>Eq8_CWP_DW!R9</f>
        <v>18.177249999999997</v>
      </c>
      <c r="S7" s="108">
        <f>Eq8_CWP_DW!S9</f>
        <v>19.575499999999998</v>
      </c>
      <c r="T7" s="108">
        <f>Eq8_CWP_DW!T9</f>
        <v>20.973749999999999</v>
      </c>
      <c r="U7" s="108">
        <f>Eq8_CWP_DW!U9</f>
        <v>21.812699999999996</v>
      </c>
      <c r="V7" s="108">
        <f>Eq8_CWP_DW!V9</f>
        <v>22.372</v>
      </c>
      <c r="W7" s="108">
        <f>Eq8_CWP_DW!W9</f>
        <v>22.931299999999997</v>
      </c>
      <c r="X7" s="108">
        <f>Eq8_CWP_DW!X9</f>
        <v>23.490600000000001</v>
      </c>
    </row>
    <row r="8" spans="1:24" x14ac:dyDescent="0.45">
      <c r="E8" s="6"/>
      <c r="F8" s="6"/>
      <c r="G8" s="6"/>
      <c r="H8" s="6"/>
      <c r="I8" s="6"/>
      <c r="J8" s="6"/>
      <c r="K8" s="6"/>
      <c r="L8" s="6"/>
      <c r="M8" s="6"/>
      <c r="N8" s="6"/>
      <c r="O8" s="6"/>
      <c r="P8" s="6"/>
      <c r="Q8" s="6"/>
      <c r="R8" s="6"/>
      <c r="S8" s="6"/>
      <c r="T8" s="6"/>
      <c r="U8" s="6"/>
      <c r="V8" s="6"/>
      <c r="W8" s="6"/>
      <c r="X8" s="6"/>
    </row>
    <row r="9" spans="1:24" s="7" customFormat="1" x14ac:dyDescent="0.45">
      <c r="A9" s="45" t="s">
        <v>323</v>
      </c>
      <c r="B9" s="45" t="s">
        <v>300</v>
      </c>
      <c r="C9" s="45" t="s">
        <v>33</v>
      </c>
      <c r="D9" s="46"/>
      <c r="E9" s="83">
        <f t="shared" ref="E9:X9" si="0">E5*(E7-E6)</f>
        <v>25.379999999999995</v>
      </c>
      <c r="F9" s="83">
        <f t="shared" si="0"/>
        <v>236.87999999999997</v>
      </c>
      <c r="G9" s="83">
        <f t="shared" si="0"/>
        <v>930.6</v>
      </c>
      <c r="H9" s="83">
        <f t="shared" si="0"/>
        <v>1776.6</v>
      </c>
      <c r="I9" s="83">
        <f t="shared" si="0"/>
        <v>2961.0000000000005</v>
      </c>
      <c r="J9" s="83">
        <f t="shared" si="0"/>
        <v>14476</v>
      </c>
      <c r="K9" s="83">
        <f t="shared" si="0"/>
        <v>19542.599999999995</v>
      </c>
      <c r="L9" s="83">
        <f t="shared" si="0"/>
        <v>25333.000000000004</v>
      </c>
      <c r="M9" s="83">
        <f t="shared" si="0"/>
        <v>28952</v>
      </c>
      <c r="N9" s="83">
        <f t="shared" si="0"/>
        <v>32570.999999999996</v>
      </c>
      <c r="O9" s="83">
        <f t="shared" si="0"/>
        <v>55930</v>
      </c>
      <c r="P9" s="83">
        <f t="shared" si="0"/>
        <v>61522.999999999985</v>
      </c>
      <c r="Q9" s="83">
        <f t="shared" si="0"/>
        <v>67116</v>
      </c>
      <c r="R9" s="83">
        <f t="shared" si="0"/>
        <v>72708.999999999985</v>
      </c>
      <c r="S9" s="83">
        <f t="shared" si="0"/>
        <v>78301.999999999985</v>
      </c>
      <c r="T9" s="83">
        <f t="shared" si="0"/>
        <v>83895</v>
      </c>
      <c r="U9" s="83">
        <f t="shared" si="0"/>
        <v>87250.799999999988</v>
      </c>
      <c r="V9" s="83">
        <f t="shared" si="0"/>
        <v>89488</v>
      </c>
      <c r="W9" s="83">
        <f t="shared" si="0"/>
        <v>91725.199999999983</v>
      </c>
      <c r="X9" s="83">
        <f t="shared" si="0"/>
        <v>93962.400000000009</v>
      </c>
    </row>
    <row r="16" spans="1:24" x14ac:dyDescent="0.45">
      <c r="A16" s="18" t="s">
        <v>90</v>
      </c>
    </row>
    <row r="17" spans="1:9" x14ac:dyDescent="0.45">
      <c r="A17" s="248" t="s">
        <v>324</v>
      </c>
      <c r="B17" s="248"/>
      <c r="C17" s="248"/>
      <c r="D17" s="248"/>
      <c r="E17" s="248"/>
      <c r="F17" s="248"/>
      <c r="G17" s="248"/>
      <c r="H17" s="248"/>
      <c r="I17" s="248"/>
    </row>
  </sheetData>
  <mergeCells count="2">
    <mergeCell ref="A1:X1"/>
    <mergeCell ref="A17:I17"/>
  </mergeCells>
  <pageMargins left="0.75" right="0.75" top="1" bottom="1"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X17"/>
  <sheetViews>
    <sheetView workbookViewId="0"/>
  </sheetViews>
  <sheetFormatPr defaultRowHeight="14.25" x14ac:dyDescent="0.45"/>
  <cols>
    <col min="1" max="1" width="15" customWidth="1"/>
    <col min="2" max="2" width="12" customWidth="1"/>
    <col min="3" max="3" width="35" customWidth="1"/>
    <col min="4" max="4" width="20" customWidth="1"/>
    <col min="5" max="24" width="10" customWidth="1"/>
  </cols>
  <sheetData>
    <row r="1" spans="1:24" x14ac:dyDescent="0.45">
      <c r="A1" s="233" t="s">
        <v>325</v>
      </c>
      <c r="B1" s="234"/>
      <c r="C1" s="234"/>
      <c r="D1" s="234"/>
      <c r="E1" s="234"/>
      <c r="F1" s="234"/>
      <c r="G1" s="234"/>
      <c r="H1" s="234"/>
      <c r="I1" s="234"/>
      <c r="J1" s="234"/>
      <c r="K1" s="234"/>
      <c r="L1" s="234"/>
      <c r="M1" s="234"/>
      <c r="N1" s="234"/>
      <c r="O1" s="234"/>
      <c r="P1" s="234"/>
      <c r="Q1" s="234"/>
      <c r="R1" s="234"/>
      <c r="S1" s="234"/>
      <c r="T1" s="234"/>
      <c r="U1" s="234"/>
      <c r="V1" s="234"/>
      <c r="W1" s="234"/>
      <c r="X1" s="235"/>
    </row>
    <row r="4" spans="1:24" x14ac:dyDescent="0.45">
      <c r="A4" s="1" t="s">
        <v>87</v>
      </c>
      <c r="B4" s="1" t="s">
        <v>88</v>
      </c>
      <c r="C4" s="1" t="s">
        <v>170</v>
      </c>
      <c r="D4" s="1" t="s">
        <v>90</v>
      </c>
      <c r="E4" s="64" t="s">
        <v>91</v>
      </c>
      <c r="F4" s="64" t="s">
        <v>92</v>
      </c>
      <c r="G4" s="64" t="s">
        <v>93</v>
      </c>
      <c r="H4" s="64" t="s">
        <v>94</v>
      </c>
      <c r="I4" s="64" t="s">
        <v>95</v>
      </c>
      <c r="J4" s="64" t="s">
        <v>96</v>
      </c>
      <c r="K4" s="64" t="s">
        <v>97</v>
      </c>
      <c r="L4" s="64" t="s">
        <v>98</v>
      </c>
      <c r="M4" s="64" t="s">
        <v>99</v>
      </c>
      <c r="N4" s="64" t="s">
        <v>100</v>
      </c>
      <c r="O4" s="64" t="s">
        <v>101</v>
      </c>
      <c r="P4" s="64" t="s">
        <v>102</v>
      </c>
      <c r="Q4" s="64" t="s">
        <v>103</v>
      </c>
      <c r="R4" s="64" t="s">
        <v>104</v>
      </c>
      <c r="S4" s="64" t="s">
        <v>105</v>
      </c>
      <c r="T4" s="64" t="s">
        <v>106</v>
      </c>
      <c r="U4" s="64" t="s">
        <v>107</v>
      </c>
      <c r="V4" s="64" t="s">
        <v>108</v>
      </c>
      <c r="W4" s="64" t="s">
        <v>109</v>
      </c>
      <c r="X4" s="64" t="s">
        <v>110</v>
      </c>
    </row>
    <row r="5" spans="1:24" x14ac:dyDescent="0.45">
      <c r="A5" t="s">
        <v>289</v>
      </c>
      <c r="B5" t="s">
        <v>220</v>
      </c>
      <c r="C5" t="s">
        <v>290</v>
      </c>
      <c r="D5" t="s">
        <v>291</v>
      </c>
      <c r="E5" s="99">
        <f>Assumptions!E8</f>
        <v>2000</v>
      </c>
      <c r="F5" s="99">
        <f>Assumptions!F8</f>
        <v>4000</v>
      </c>
      <c r="G5" s="99">
        <f>Assumptions!G8</f>
        <v>4000</v>
      </c>
      <c r="H5" s="99">
        <f>Assumptions!H8</f>
        <v>4000</v>
      </c>
      <c r="I5" s="99">
        <f>Assumptions!I8</f>
        <v>4000</v>
      </c>
      <c r="J5" s="99">
        <f>Assumptions!J8</f>
        <v>4000</v>
      </c>
      <c r="K5" s="99">
        <f>Assumptions!K8</f>
        <v>4000</v>
      </c>
      <c r="L5" s="99">
        <f>Assumptions!L8</f>
        <v>4000</v>
      </c>
      <c r="M5" s="99">
        <f>Assumptions!M8</f>
        <v>4000</v>
      </c>
      <c r="N5" s="99">
        <f>Assumptions!N8</f>
        <v>4000</v>
      </c>
      <c r="O5" s="99">
        <f>Assumptions!O8</f>
        <v>4000</v>
      </c>
      <c r="P5" s="99">
        <f>Assumptions!P8</f>
        <v>4000</v>
      </c>
      <c r="Q5" s="99">
        <f>Assumptions!Q8</f>
        <v>4000</v>
      </c>
      <c r="R5" s="99">
        <f>Assumptions!R8</f>
        <v>4000</v>
      </c>
      <c r="S5" s="99">
        <f>Assumptions!S8</f>
        <v>4000</v>
      </c>
      <c r="T5" s="99">
        <f>Assumptions!T8</f>
        <v>4000</v>
      </c>
      <c r="U5" s="99">
        <f>Assumptions!U8</f>
        <v>4000</v>
      </c>
      <c r="V5" s="99">
        <f>Assumptions!V8</f>
        <v>4000</v>
      </c>
      <c r="W5" s="99">
        <f>Assumptions!W8</f>
        <v>4000</v>
      </c>
      <c r="X5" s="99">
        <f>Assumptions!X8</f>
        <v>4000</v>
      </c>
    </row>
    <row r="6" spans="1:24" x14ac:dyDescent="0.45">
      <c r="A6" t="s">
        <v>326</v>
      </c>
      <c r="B6" t="s">
        <v>267</v>
      </c>
      <c r="C6" t="s">
        <v>327</v>
      </c>
      <c r="D6" t="s">
        <v>306</v>
      </c>
      <c r="E6" s="100">
        <v>0</v>
      </c>
      <c r="F6" s="100">
        <v>0</v>
      </c>
      <c r="G6" s="100">
        <v>0</v>
      </c>
      <c r="H6" s="100">
        <v>0</v>
      </c>
      <c r="I6" s="100">
        <v>0</v>
      </c>
      <c r="J6" s="100">
        <v>0</v>
      </c>
      <c r="K6" s="100">
        <v>0</v>
      </c>
      <c r="L6" s="100">
        <v>0</v>
      </c>
      <c r="M6" s="100">
        <v>0</v>
      </c>
      <c r="N6" s="100">
        <v>0</v>
      </c>
      <c r="O6" s="100">
        <v>0</v>
      </c>
      <c r="P6" s="100">
        <v>0</v>
      </c>
      <c r="Q6" s="100">
        <v>0</v>
      </c>
      <c r="R6" s="100">
        <v>0</v>
      </c>
      <c r="S6" s="100">
        <v>0</v>
      </c>
      <c r="T6" s="100">
        <v>0</v>
      </c>
      <c r="U6" s="100">
        <v>0</v>
      </c>
      <c r="V6" s="100">
        <v>0</v>
      </c>
      <c r="W6" s="100">
        <v>0</v>
      </c>
      <c r="X6" s="100">
        <v>0</v>
      </c>
    </row>
    <row r="7" spans="1:24" x14ac:dyDescent="0.45">
      <c r="A7" t="s">
        <v>285</v>
      </c>
      <c r="B7" t="s">
        <v>267</v>
      </c>
      <c r="C7" t="s">
        <v>328</v>
      </c>
      <c r="D7" t="s">
        <v>329</v>
      </c>
      <c r="E7" s="116">
        <f>Eq10_CWP_LI!E8</f>
        <v>0.70499999999999996</v>
      </c>
      <c r="F7" s="116">
        <f>Eq10_CWP_LI!F8</f>
        <v>0.94</v>
      </c>
      <c r="G7" s="116">
        <f>Eq10_CWP_LI!G8</f>
        <v>1.1749999999999998</v>
      </c>
      <c r="H7" s="116">
        <f>Eq10_CWP_LI!H8</f>
        <v>1.3159999999999998</v>
      </c>
      <c r="I7" s="116">
        <f>Eq10_CWP_LI!I8</f>
        <v>1.363</v>
      </c>
      <c r="J7" s="116">
        <f>Eq10_CWP_LI!J8</f>
        <v>1.41</v>
      </c>
      <c r="K7" s="116">
        <f>Eq10_CWP_LI!K8</f>
        <v>1.4569999999999999</v>
      </c>
      <c r="L7" s="116">
        <f>Eq10_CWP_LI!L8</f>
        <v>1.504</v>
      </c>
      <c r="M7" s="116">
        <f>Eq10_CWP_LI!M8</f>
        <v>1.5509999999999999</v>
      </c>
      <c r="N7" s="116">
        <f>Eq10_CWP_LI!N8</f>
        <v>1.5979999999999999</v>
      </c>
      <c r="O7" s="116">
        <f>Eq10_CWP_LI!O8</f>
        <v>1.645</v>
      </c>
      <c r="P7" s="116">
        <f>Eq10_CWP_LI!P8</f>
        <v>1.6919999999999999</v>
      </c>
      <c r="Q7" s="116">
        <f>Eq10_CWP_LI!Q8</f>
        <v>1.7389999999999999</v>
      </c>
      <c r="R7" s="116">
        <f>Eq10_CWP_LI!R8</f>
        <v>1.7859999999999998</v>
      </c>
      <c r="S7" s="116">
        <f>Eq10_CWP_LI!S8</f>
        <v>1.833</v>
      </c>
      <c r="T7" s="116">
        <f>Eq10_CWP_LI!T8</f>
        <v>1.88</v>
      </c>
      <c r="U7" s="116">
        <f>Eq10_CWP_LI!U8</f>
        <v>1.9269999999999998</v>
      </c>
      <c r="V7" s="116">
        <f>Eq10_CWP_LI!V8</f>
        <v>1.974</v>
      </c>
      <c r="W7" s="116">
        <f>Eq10_CWP_LI!W8</f>
        <v>2.0209999999999999</v>
      </c>
      <c r="X7" s="116">
        <f>Eq10_CWP_LI!X8</f>
        <v>2.0680000000000001</v>
      </c>
    </row>
    <row r="8" spans="1:24" x14ac:dyDescent="0.45">
      <c r="E8" s="6"/>
      <c r="F8" s="6"/>
      <c r="G8" s="6"/>
      <c r="H8" s="6"/>
      <c r="I8" s="6"/>
      <c r="J8" s="6"/>
      <c r="K8" s="6"/>
      <c r="L8" s="6"/>
      <c r="M8" s="6"/>
      <c r="N8" s="6"/>
      <c r="O8" s="6"/>
      <c r="P8" s="6"/>
      <c r="Q8" s="6"/>
      <c r="R8" s="6"/>
      <c r="S8" s="6"/>
      <c r="T8" s="6"/>
      <c r="U8" s="6"/>
      <c r="V8" s="6"/>
      <c r="W8" s="6"/>
      <c r="X8" s="6"/>
    </row>
    <row r="9" spans="1:24" s="7" customFormat="1" x14ac:dyDescent="0.45">
      <c r="A9" s="45" t="s">
        <v>330</v>
      </c>
      <c r="B9" s="45" t="s">
        <v>300</v>
      </c>
      <c r="C9" s="45" t="s">
        <v>37</v>
      </c>
      <c r="D9" s="46"/>
      <c r="E9" s="83">
        <f t="shared" ref="E9:X9" si="0">E5*(E7-E6)</f>
        <v>1410</v>
      </c>
      <c r="F9" s="83">
        <f t="shared" si="0"/>
        <v>3760</v>
      </c>
      <c r="G9" s="83">
        <f t="shared" si="0"/>
        <v>4699.9999999999991</v>
      </c>
      <c r="H9" s="83">
        <f t="shared" si="0"/>
        <v>5263.9999999999991</v>
      </c>
      <c r="I9" s="83">
        <f t="shared" si="0"/>
        <v>5452</v>
      </c>
      <c r="J9" s="83">
        <f t="shared" si="0"/>
        <v>5640</v>
      </c>
      <c r="K9" s="83">
        <f t="shared" si="0"/>
        <v>5827.9999999999991</v>
      </c>
      <c r="L9" s="83">
        <f t="shared" si="0"/>
        <v>6016</v>
      </c>
      <c r="M9" s="83">
        <f t="shared" si="0"/>
        <v>6204</v>
      </c>
      <c r="N9" s="83">
        <f t="shared" si="0"/>
        <v>6391.9999999999991</v>
      </c>
      <c r="O9" s="83">
        <f t="shared" si="0"/>
        <v>6580</v>
      </c>
      <c r="P9" s="83">
        <f t="shared" si="0"/>
        <v>6768</v>
      </c>
      <c r="Q9" s="83">
        <f t="shared" si="0"/>
        <v>6955.9999999999991</v>
      </c>
      <c r="R9" s="83">
        <f t="shared" si="0"/>
        <v>7143.9999999999991</v>
      </c>
      <c r="S9" s="83">
        <f t="shared" si="0"/>
        <v>7332</v>
      </c>
      <c r="T9" s="83">
        <f t="shared" si="0"/>
        <v>7520</v>
      </c>
      <c r="U9" s="83">
        <f t="shared" si="0"/>
        <v>7707.9999999999991</v>
      </c>
      <c r="V9" s="83">
        <f t="shared" si="0"/>
        <v>7896</v>
      </c>
      <c r="W9" s="83">
        <f t="shared" si="0"/>
        <v>8084</v>
      </c>
      <c r="X9" s="83">
        <f t="shared" si="0"/>
        <v>8272</v>
      </c>
    </row>
    <row r="16" spans="1:24" x14ac:dyDescent="0.45">
      <c r="A16" s="18" t="s">
        <v>90</v>
      </c>
    </row>
    <row r="17" spans="1:9" x14ac:dyDescent="0.45">
      <c r="A17" s="245" t="s">
        <v>331</v>
      </c>
      <c r="B17" s="245"/>
      <c r="C17" s="245"/>
      <c r="D17" s="245"/>
      <c r="E17" s="245"/>
      <c r="F17" s="245"/>
      <c r="G17" s="245"/>
      <c r="H17" s="245"/>
      <c r="I17" s="245"/>
    </row>
  </sheetData>
  <mergeCells count="2">
    <mergeCell ref="A1:X1"/>
    <mergeCell ref="A17:I17"/>
  </mergeCells>
  <pageMargins left="0.75" right="0.75" top="1" bottom="1"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X17"/>
  <sheetViews>
    <sheetView workbookViewId="0"/>
  </sheetViews>
  <sheetFormatPr defaultRowHeight="14.25" x14ac:dyDescent="0.45"/>
  <cols>
    <col min="1" max="1" width="17.86328125" customWidth="1"/>
    <col min="2" max="2" width="12" customWidth="1"/>
    <col min="3" max="3" width="35" customWidth="1"/>
    <col min="4" max="4" width="20" customWidth="1"/>
    <col min="5" max="24" width="10" customWidth="1"/>
  </cols>
  <sheetData>
    <row r="1" spans="1:24" x14ac:dyDescent="0.45">
      <c r="A1" s="233" t="s">
        <v>332</v>
      </c>
      <c r="B1" s="234"/>
      <c r="C1" s="234"/>
      <c r="D1" s="234"/>
      <c r="E1" s="234"/>
      <c r="F1" s="234"/>
      <c r="G1" s="234"/>
      <c r="H1" s="234"/>
      <c r="I1" s="234"/>
      <c r="J1" s="234"/>
      <c r="K1" s="234"/>
      <c r="L1" s="234"/>
      <c r="M1" s="234"/>
      <c r="N1" s="234"/>
      <c r="O1" s="234"/>
      <c r="P1" s="234"/>
      <c r="Q1" s="234"/>
      <c r="R1" s="234"/>
      <c r="S1" s="234"/>
      <c r="T1" s="234"/>
      <c r="U1" s="234"/>
      <c r="V1" s="234"/>
      <c r="W1" s="234"/>
      <c r="X1" s="235"/>
    </row>
    <row r="4" spans="1:24" x14ac:dyDescent="0.45">
      <c r="A4" s="1" t="s">
        <v>87</v>
      </c>
      <c r="B4" s="1" t="s">
        <v>88</v>
      </c>
      <c r="C4" s="1" t="s">
        <v>170</v>
      </c>
      <c r="D4" s="1" t="s">
        <v>90</v>
      </c>
      <c r="E4" s="64" t="s">
        <v>91</v>
      </c>
      <c r="F4" s="64" t="s">
        <v>92</v>
      </c>
      <c r="G4" s="64" t="s">
        <v>93</v>
      </c>
      <c r="H4" s="64" t="s">
        <v>94</v>
      </c>
      <c r="I4" s="64" t="s">
        <v>95</v>
      </c>
      <c r="J4" s="64" t="s">
        <v>96</v>
      </c>
      <c r="K4" s="64" t="s">
        <v>97</v>
      </c>
      <c r="L4" s="64" t="s">
        <v>98</v>
      </c>
      <c r="M4" s="64" t="s">
        <v>99</v>
      </c>
      <c r="N4" s="64" t="s">
        <v>100</v>
      </c>
      <c r="O4" s="64" t="s">
        <v>101</v>
      </c>
      <c r="P4" s="64" t="s">
        <v>102</v>
      </c>
      <c r="Q4" s="64" t="s">
        <v>103</v>
      </c>
      <c r="R4" s="64" t="s">
        <v>104</v>
      </c>
      <c r="S4" s="64" t="s">
        <v>105</v>
      </c>
      <c r="T4" s="64" t="s">
        <v>106</v>
      </c>
      <c r="U4" s="64" t="s">
        <v>107</v>
      </c>
      <c r="V4" s="64" t="s">
        <v>108</v>
      </c>
      <c r="W4" s="64" t="s">
        <v>109</v>
      </c>
      <c r="X4" s="64" t="s">
        <v>110</v>
      </c>
    </row>
    <row r="5" spans="1:24" x14ac:dyDescent="0.45">
      <c r="A5" t="s">
        <v>333</v>
      </c>
      <c r="B5" t="s">
        <v>300</v>
      </c>
      <c r="C5" t="s">
        <v>25</v>
      </c>
      <c r="D5" t="s">
        <v>334</v>
      </c>
      <c r="E5" s="108">
        <f>Eq3_Delta_woody!E9</f>
        <v>2231.9999999999995</v>
      </c>
      <c r="F5" s="108">
        <f>Eq3_Delta_woody!F9</f>
        <v>20832</v>
      </c>
      <c r="G5" s="108">
        <f>Eq3_Delta_woody!G9</f>
        <v>81840</v>
      </c>
      <c r="H5" s="108">
        <f>Eq3_Delta_woody!H9</f>
        <v>156240</v>
      </c>
      <c r="I5" s="108">
        <f>Eq3_Delta_woody!I9</f>
        <v>260399.99999999997</v>
      </c>
      <c r="J5" s="108">
        <f>Eq3_Delta_woody!J9</f>
        <v>347200</v>
      </c>
      <c r="K5" s="108">
        <f>Eq3_Delta_woody!K9</f>
        <v>468719.99999999994</v>
      </c>
      <c r="L5" s="108">
        <f>Eq3_Delta_woody!L9</f>
        <v>607600</v>
      </c>
      <c r="M5" s="108">
        <f>Eq3_Delta_woody!M9</f>
        <v>694400</v>
      </c>
      <c r="N5" s="108">
        <f>Eq3_Delta_woody!N9</f>
        <v>781200</v>
      </c>
      <c r="O5" s="108">
        <f>Eq3_Delta_woody!O9</f>
        <v>868000</v>
      </c>
      <c r="P5" s="108">
        <f>Eq3_Delta_woody!P9</f>
        <v>954800</v>
      </c>
      <c r="Q5" s="108">
        <f>Eq3_Delta_woody!Q9</f>
        <v>1041599.9999999999</v>
      </c>
      <c r="R5" s="108">
        <f>Eq3_Delta_woody!R9</f>
        <v>1128400</v>
      </c>
      <c r="S5" s="108">
        <f>Eq3_Delta_woody!S9</f>
        <v>1215200</v>
      </c>
      <c r="T5" s="108">
        <f>Eq3_Delta_woody!T9</f>
        <v>1302000</v>
      </c>
      <c r="U5" s="108">
        <f>Eq3_Delta_woody!U9</f>
        <v>1354080</v>
      </c>
      <c r="V5" s="108">
        <f>Eq3_Delta_woody!V9</f>
        <v>1388800</v>
      </c>
      <c r="W5" s="108">
        <f>Eq3_Delta_woody!W9</f>
        <v>1423520</v>
      </c>
      <c r="X5" s="108">
        <f>Eq3_Delta_woody!X9</f>
        <v>1458240</v>
      </c>
    </row>
    <row r="6" spans="1:24" x14ac:dyDescent="0.45">
      <c r="A6" t="s">
        <v>335</v>
      </c>
      <c r="B6" t="s">
        <v>300</v>
      </c>
      <c r="C6" t="s">
        <v>336</v>
      </c>
      <c r="D6" t="s">
        <v>337</v>
      </c>
      <c r="E6" s="108">
        <f>Eq5_Delta_herb!E9</f>
        <v>2820</v>
      </c>
      <c r="F6" s="108">
        <f>Eq5_Delta_herb!F9</f>
        <v>5640</v>
      </c>
      <c r="G6" s="108">
        <f>Eq5_Delta_herb!G9</f>
        <v>3760</v>
      </c>
      <c r="H6" s="108">
        <f>Eq5_Delta_herb!H9</f>
        <v>3760</v>
      </c>
      <c r="I6" s="108">
        <f>Eq5_Delta_herb!I9</f>
        <v>2820</v>
      </c>
      <c r="J6" s="108">
        <f>Eq5_Delta_herb!J9</f>
        <v>1880</v>
      </c>
      <c r="K6" s="108">
        <f>Eq5_Delta_herb!K9</f>
        <v>1880</v>
      </c>
      <c r="L6" s="108">
        <f>Eq5_Delta_herb!L9</f>
        <v>1410</v>
      </c>
      <c r="M6" s="108">
        <f>Eq5_Delta_herb!M9</f>
        <v>1410</v>
      </c>
      <c r="N6" s="108">
        <f>Eq5_Delta_herb!N9</f>
        <v>940</v>
      </c>
      <c r="O6" s="108">
        <f>Eq5_Delta_herb!O9</f>
        <v>940</v>
      </c>
      <c r="P6" s="108">
        <f>Eq5_Delta_herb!P9</f>
        <v>752</v>
      </c>
      <c r="Q6" s="108">
        <f>Eq5_Delta_herb!Q9</f>
        <v>752</v>
      </c>
      <c r="R6" s="108">
        <f>Eq5_Delta_herb!R9</f>
        <v>564</v>
      </c>
      <c r="S6" s="108">
        <f>Eq5_Delta_herb!S9</f>
        <v>564</v>
      </c>
      <c r="T6" s="108">
        <f>Eq5_Delta_herb!T9</f>
        <v>376</v>
      </c>
      <c r="U6" s="108">
        <f>Eq5_Delta_herb!U9</f>
        <v>376</v>
      </c>
      <c r="V6" s="108">
        <f>Eq5_Delta_herb!V9</f>
        <v>188</v>
      </c>
      <c r="W6" s="108">
        <f>Eq5_Delta_herb!W9</f>
        <v>188</v>
      </c>
      <c r="X6" s="108">
        <f>Eq5_Delta_herb!X9</f>
        <v>188</v>
      </c>
    </row>
    <row r="7" spans="1:24" x14ac:dyDescent="0.45">
      <c r="A7" t="s">
        <v>338</v>
      </c>
      <c r="B7" t="s">
        <v>300</v>
      </c>
      <c r="C7" t="s">
        <v>33</v>
      </c>
      <c r="D7" t="s">
        <v>339</v>
      </c>
      <c r="E7" s="108">
        <f>Eq7_Delta_DW!E9</f>
        <v>25.379999999999995</v>
      </c>
      <c r="F7" s="108">
        <f>Eq7_Delta_DW!F9</f>
        <v>236.87999999999997</v>
      </c>
      <c r="G7" s="108">
        <f>Eq7_Delta_DW!G9</f>
        <v>930.6</v>
      </c>
      <c r="H7" s="108">
        <f>Eq7_Delta_DW!H9</f>
        <v>1776.6</v>
      </c>
      <c r="I7" s="108">
        <f>Eq7_Delta_DW!I9</f>
        <v>2961.0000000000005</v>
      </c>
      <c r="J7" s="108">
        <f>Eq7_Delta_DW!J9</f>
        <v>14476</v>
      </c>
      <c r="K7" s="108">
        <f>Eq7_Delta_DW!K9</f>
        <v>19542.599999999995</v>
      </c>
      <c r="L7" s="108">
        <f>Eq7_Delta_DW!L9</f>
        <v>25333.000000000004</v>
      </c>
      <c r="M7" s="108">
        <f>Eq7_Delta_DW!M9</f>
        <v>28952</v>
      </c>
      <c r="N7" s="108">
        <f>Eq7_Delta_DW!N9</f>
        <v>32570.999999999996</v>
      </c>
      <c r="O7" s="108">
        <f>Eq7_Delta_DW!O9</f>
        <v>55930</v>
      </c>
      <c r="P7" s="108">
        <f>Eq7_Delta_DW!P9</f>
        <v>61522.999999999985</v>
      </c>
      <c r="Q7" s="108">
        <f>Eq7_Delta_DW!Q9</f>
        <v>67116</v>
      </c>
      <c r="R7" s="108">
        <f>Eq7_Delta_DW!R9</f>
        <v>72708.999999999985</v>
      </c>
      <c r="S7" s="108">
        <f>Eq7_Delta_DW!S9</f>
        <v>78301.999999999985</v>
      </c>
      <c r="T7" s="108">
        <f>Eq7_Delta_DW!T9</f>
        <v>83895</v>
      </c>
      <c r="U7" s="108">
        <f>Eq7_Delta_DW!U9</f>
        <v>87250.799999999988</v>
      </c>
      <c r="V7" s="108">
        <f>Eq7_Delta_DW!V9</f>
        <v>89488</v>
      </c>
      <c r="W7" s="108">
        <f>Eq7_Delta_DW!W9</f>
        <v>91725.199999999983</v>
      </c>
      <c r="X7" s="108">
        <f>Eq7_Delta_DW!X9</f>
        <v>93962.400000000009</v>
      </c>
    </row>
    <row r="8" spans="1:24" x14ac:dyDescent="0.45">
      <c r="A8" t="s">
        <v>340</v>
      </c>
      <c r="B8" t="s">
        <v>300</v>
      </c>
      <c r="C8" t="s">
        <v>341</v>
      </c>
      <c r="D8" t="s">
        <v>342</v>
      </c>
      <c r="E8" s="108">
        <f>Eq9_Delta_LI!E9</f>
        <v>1410</v>
      </c>
      <c r="F8" s="108">
        <f>Eq9_Delta_LI!F9</f>
        <v>3760</v>
      </c>
      <c r="G8" s="108">
        <f>Eq9_Delta_LI!G9</f>
        <v>4699.9999999999991</v>
      </c>
      <c r="H8" s="108">
        <f>Eq9_Delta_LI!H9</f>
        <v>5263.9999999999991</v>
      </c>
      <c r="I8" s="108">
        <f>Eq9_Delta_LI!I9</f>
        <v>5452</v>
      </c>
      <c r="J8" s="108">
        <f>Eq9_Delta_LI!J9</f>
        <v>5640</v>
      </c>
      <c r="K8" s="108">
        <f>Eq9_Delta_LI!K9</f>
        <v>5827.9999999999991</v>
      </c>
      <c r="L8" s="108">
        <f>Eq9_Delta_LI!L9</f>
        <v>6016</v>
      </c>
      <c r="M8" s="108">
        <f>Eq9_Delta_LI!M9</f>
        <v>6204</v>
      </c>
      <c r="N8" s="108">
        <f>Eq9_Delta_LI!N9</f>
        <v>6391.9999999999991</v>
      </c>
      <c r="O8" s="108">
        <f>Eq9_Delta_LI!O9</f>
        <v>6580</v>
      </c>
      <c r="P8" s="108">
        <f>Eq9_Delta_LI!P9</f>
        <v>6768</v>
      </c>
      <c r="Q8" s="108">
        <f>Eq9_Delta_LI!Q9</f>
        <v>6955.9999999999991</v>
      </c>
      <c r="R8" s="108">
        <f>Eq9_Delta_LI!R9</f>
        <v>7143.9999999999991</v>
      </c>
      <c r="S8" s="108">
        <f>Eq9_Delta_LI!S9</f>
        <v>7332</v>
      </c>
      <c r="T8" s="108">
        <f>Eq9_Delta_LI!T9</f>
        <v>7520</v>
      </c>
      <c r="U8" s="108">
        <f>Eq9_Delta_LI!U9</f>
        <v>7707.9999999999991</v>
      </c>
      <c r="V8" s="108">
        <f>Eq9_Delta_LI!V9</f>
        <v>7896</v>
      </c>
      <c r="W8" s="108">
        <f>Eq9_Delta_LI!W9</f>
        <v>8084</v>
      </c>
      <c r="X8" s="108">
        <f>Eq9_Delta_LI!X9</f>
        <v>8272</v>
      </c>
    </row>
    <row r="9" spans="1:24" x14ac:dyDescent="0.45">
      <c r="E9" s="6"/>
      <c r="F9" s="6"/>
      <c r="G9" s="6"/>
      <c r="H9" s="6"/>
      <c r="I9" s="6"/>
      <c r="J9" s="6"/>
      <c r="K9" s="6"/>
      <c r="L9" s="6"/>
      <c r="M9" s="6"/>
      <c r="N9" s="6"/>
      <c r="O9" s="6"/>
      <c r="P9" s="6"/>
      <c r="Q9" s="6"/>
      <c r="R9" s="6"/>
      <c r="S9" s="6"/>
      <c r="T9" s="6"/>
      <c r="U9" s="6"/>
      <c r="V9" s="6"/>
      <c r="W9" s="6"/>
      <c r="X9" s="6"/>
    </row>
    <row r="10" spans="1:24" s="7" customFormat="1" x14ac:dyDescent="0.45">
      <c r="A10" s="45" t="s">
        <v>343</v>
      </c>
      <c r="B10" s="45" t="s">
        <v>300</v>
      </c>
      <c r="C10" s="45" t="s">
        <v>41</v>
      </c>
      <c r="D10" s="46"/>
      <c r="E10" s="83">
        <f>E5+E6+E7+E8</f>
        <v>6487.38</v>
      </c>
      <c r="F10" s="83">
        <f t="shared" ref="F10:X10" si="0">F5+F6+F7+F8</f>
        <v>30468.880000000001</v>
      </c>
      <c r="G10" s="83">
        <f t="shared" si="0"/>
        <v>91230.6</v>
      </c>
      <c r="H10" s="83">
        <f t="shared" si="0"/>
        <v>167040.6</v>
      </c>
      <c r="I10" s="83">
        <f t="shared" si="0"/>
        <v>271633</v>
      </c>
      <c r="J10" s="83">
        <f t="shared" si="0"/>
        <v>369196</v>
      </c>
      <c r="K10" s="83">
        <f t="shared" si="0"/>
        <v>495970.59999999992</v>
      </c>
      <c r="L10" s="83">
        <f t="shared" si="0"/>
        <v>640359</v>
      </c>
      <c r="M10" s="83">
        <f t="shared" si="0"/>
        <v>730966</v>
      </c>
      <c r="N10" s="83">
        <f t="shared" si="0"/>
        <v>821103</v>
      </c>
      <c r="O10" s="83">
        <f t="shared" si="0"/>
        <v>931450</v>
      </c>
      <c r="P10" s="83">
        <f t="shared" si="0"/>
        <v>1023843</v>
      </c>
      <c r="Q10" s="83">
        <f t="shared" si="0"/>
        <v>1116424</v>
      </c>
      <c r="R10" s="83">
        <f t="shared" si="0"/>
        <v>1208817</v>
      </c>
      <c r="S10" s="83">
        <f t="shared" si="0"/>
        <v>1301398</v>
      </c>
      <c r="T10" s="83">
        <f t="shared" si="0"/>
        <v>1393791</v>
      </c>
      <c r="U10" s="83">
        <f t="shared" si="0"/>
        <v>1449414.8</v>
      </c>
      <c r="V10" s="83">
        <f t="shared" si="0"/>
        <v>1486372</v>
      </c>
      <c r="W10" s="83">
        <f t="shared" si="0"/>
        <v>1523517.2</v>
      </c>
      <c r="X10" s="83">
        <f t="shared" si="0"/>
        <v>1560662.4</v>
      </c>
    </row>
    <row r="16" spans="1:24" x14ac:dyDescent="0.45">
      <c r="A16" s="18" t="s">
        <v>90</v>
      </c>
    </row>
    <row r="17" spans="1:9" x14ac:dyDescent="0.45">
      <c r="A17" s="245" t="s">
        <v>344</v>
      </c>
      <c r="B17" s="245"/>
      <c r="C17" s="245"/>
      <c r="D17" s="245"/>
      <c r="E17" s="245"/>
      <c r="F17" s="245"/>
      <c r="G17" s="245"/>
      <c r="H17" s="245"/>
      <c r="I17" s="245"/>
    </row>
  </sheetData>
  <mergeCells count="2">
    <mergeCell ref="A1:X1"/>
    <mergeCell ref="A17:I17"/>
  </mergeCells>
  <pageMargins left="0.75" right="0.75" top="1" bottom="1"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2B8118-21A6-4D55-B6CA-CD4B9AC533C0}">
  <dimension ref="A1:X18"/>
  <sheetViews>
    <sheetView workbookViewId="0"/>
  </sheetViews>
  <sheetFormatPr defaultRowHeight="14.25" x14ac:dyDescent="0.45"/>
  <cols>
    <col min="1" max="1" width="17.86328125" customWidth="1"/>
    <col min="2" max="2" width="12" customWidth="1"/>
    <col min="3" max="3" width="35" customWidth="1"/>
    <col min="4" max="4" width="20" customWidth="1"/>
    <col min="5" max="24" width="10" customWidth="1"/>
  </cols>
  <sheetData>
    <row r="1" spans="1:24" x14ac:dyDescent="0.45">
      <c r="A1" s="233" t="s">
        <v>345</v>
      </c>
      <c r="B1" s="234"/>
      <c r="C1" s="234"/>
      <c r="D1" s="234"/>
      <c r="E1" s="234"/>
      <c r="F1" s="234"/>
      <c r="G1" s="234"/>
      <c r="H1" s="234"/>
      <c r="I1" s="234"/>
      <c r="J1" s="234"/>
      <c r="K1" s="234"/>
      <c r="L1" s="234"/>
      <c r="M1" s="234"/>
      <c r="N1" s="234"/>
      <c r="O1" s="234"/>
      <c r="P1" s="234"/>
      <c r="Q1" s="234"/>
      <c r="R1" s="234"/>
      <c r="S1" s="234"/>
      <c r="T1" s="234"/>
      <c r="U1" s="234"/>
      <c r="V1" s="234"/>
      <c r="W1" s="234"/>
      <c r="X1" s="235"/>
    </row>
    <row r="4" spans="1:24" x14ac:dyDescent="0.45">
      <c r="A4" s="1" t="s">
        <v>87</v>
      </c>
      <c r="B4" s="1" t="s">
        <v>88</v>
      </c>
      <c r="C4" s="1" t="s">
        <v>170</v>
      </c>
      <c r="D4" s="1" t="s">
        <v>90</v>
      </c>
      <c r="E4" s="64" t="s">
        <v>91</v>
      </c>
      <c r="F4" s="64" t="s">
        <v>92</v>
      </c>
      <c r="G4" s="64" t="s">
        <v>93</v>
      </c>
      <c r="H4" s="64" t="s">
        <v>94</v>
      </c>
      <c r="I4" s="64" t="s">
        <v>95</v>
      </c>
      <c r="J4" s="64" t="s">
        <v>96</v>
      </c>
      <c r="K4" s="64" t="s">
        <v>97</v>
      </c>
      <c r="L4" s="64" t="s">
        <v>98</v>
      </c>
      <c r="M4" s="64" t="s">
        <v>99</v>
      </c>
      <c r="N4" s="64" t="s">
        <v>100</v>
      </c>
      <c r="O4" s="64" t="s">
        <v>101</v>
      </c>
      <c r="P4" s="64" t="s">
        <v>102</v>
      </c>
      <c r="Q4" s="64" t="s">
        <v>103</v>
      </c>
      <c r="R4" s="64" t="s">
        <v>104</v>
      </c>
      <c r="S4" s="64" t="s">
        <v>105</v>
      </c>
      <c r="T4" s="64" t="s">
        <v>106</v>
      </c>
      <c r="U4" s="64" t="s">
        <v>107</v>
      </c>
      <c r="V4" s="64" t="s">
        <v>108</v>
      </c>
      <c r="W4" s="64" t="s">
        <v>109</v>
      </c>
      <c r="X4" s="64" t="s">
        <v>110</v>
      </c>
    </row>
    <row r="5" spans="1:24" x14ac:dyDescent="0.45">
      <c r="E5" s="108"/>
      <c r="F5" s="108"/>
      <c r="G5" s="108"/>
      <c r="H5" s="108"/>
      <c r="I5" s="108"/>
      <c r="J5" s="108"/>
      <c r="K5" s="108"/>
      <c r="L5" s="108"/>
      <c r="M5" s="108"/>
      <c r="N5" s="108"/>
      <c r="O5" s="108"/>
      <c r="P5" s="108"/>
      <c r="Q5" s="108"/>
      <c r="R5" s="108"/>
      <c r="S5" s="108"/>
      <c r="T5" s="108"/>
      <c r="U5" s="108"/>
      <c r="V5" s="108"/>
      <c r="W5" s="108"/>
      <c r="X5" s="108"/>
    </row>
    <row r="6" spans="1:24" x14ac:dyDescent="0.45">
      <c r="E6" s="108"/>
      <c r="F6" s="108"/>
      <c r="G6" s="108"/>
      <c r="H6" s="108"/>
      <c r="I6" s="108"/>
      <c r="J6" s="108"/>
      <c r="K6" s="108"/>
      <c r="L6" s="108"/>
      <c r="M6" s="108"/>
      <c r="N6" s="108"/>
      <c r="O6" s="108"/>
      <c r="P6" s="108"/>
      <c r="Q6" s="108"/>
      <c r="R6" s="108"/>
      <c r="S6" s="108"/>
      <c r="T6" s="108"/>
      <c r="U6" s="108"/>
      <c r="V6" s="108"/>
      <c r="W6" s="108"/>
      <c r="X6" s="108"/>
    </row>
    <row r="7" spans="1:24" x14ac:dyDescent="0.45">
      <c r="E7" s="108"/>
      <c r="F7" s="108"/>
      <c r="G7" s="108"/>
      <c r="H7" s="108"/>
      <c r="I7" s="108"/>
      <c r="J7" s="108"/>
      <c r="K7" s="108"/>
      <c r="L7" s="108"/>
      <c r="M7" s="108"/>
      <c r="N7" s="108"/>
      <c r="O7" s="108"/>
      <c r="P7" s="108"/>
      <c r="Q7" s="108"/>
      <c r="R7" s="108"/>
      <c r="S7" s="108"/>
      <c r="T7" s="108"/>
      <c r="U7" s="108"/>
      <c r="V7" s="108"/>
      <c r="W7" s="108"/>
      <c r="X7" s="108"/>
    </row>
    <row r="8" spans="1:24" x14ac:dyDescent="0.45">
      <c r="E8" s="108"/>
      <c r="F8" s="108"/>
      <c r="G8" s="108"/>
      <c r="H8" s="108"/>
      <c r="I8" s="108"/>
      <c r="J8" s="108"/>
      <c r="K8" s="108"/>
      <c r="L8" s="108"/>
      <c r="M8" s="108"/>
      <c r="N8" s="108"/>
      <c r="O8" s="108"/>
      <c r="P8" s="108"/>
      <c r="Q8" s="108"/>
      <c r="R8" s="108"/>
      <c r="S8" s="108"/>
      <c r="T8" s="108"/>
      <c r="U8" s="108"/>
      <c r="V8" s="108"/>
      <c r="W8" s="108"/>
      <c r="X8" s="108"/>
    </row>
    <row r="9" spans="1:24" x14ac:dyDescent="0.45">
      <c r="E9" s="6"/>
      <c r="F9" s="6"/>
      <c r="G9" s="6"/>
      <c r="H9" s="6"/>
      <c r="I9" s="6"/>
      <c r="J9" s="6"/>
      <c r="K9" s="6"/>
      <c r="L9" s="6"/>
      <c r="M9" s="6"/>
      <c r="N9" s="6"/>
      <c r="O9" s="6"/>
      <c r="P9" s="6"/>
      <c r="Q9" s="6"/>
      <c r="R9" s="6"/>
      <c r="S9" s="6"/>
      <c r="T9" s="6"/>
      <c r="U9" s="6"/>
      <c r="V9" s="6"/>
      <c r="W9" s="6"/>
      <c r="X9" s="6"/>
    </row>
    <row r="10" spans="1:24" s="7" customFormat="1" x14ac:dyDescent="0.45">
      <c r="A10" s="45" t="s">
        <v>343</v>
      </c>
      <c r="B10" s="45" t="s">
        <v>300</v>
      </c>
      <c r="C10" s="45" t="s">
        <v>41</v>
      </c>
      <c r="D10" s="46"/>
      <c r="E10" s="83">
        <f t="shared" ref="E10:X10" si="0">E5+E6+E7+E8</f>
        <v>0</v>
      </c>
      <c r="F10" s="83">
        <f t="shared" si="0"/>
        <v>0</v>
      </c>
      <c r="G10" s="83">
        <f t="shared" si="0"/>
        <v>0</v>
      </c>
      <c r="H10" s="83">
        <f t="shared" si="0"/>
        <v>0</v>
      </c>
      <c r="I10" s="83">
        <f t="shared" si="0"/>
        <v>0</v>
      </c>
      <c r="J10" s="83">
        <f t="shared" si="0"/>
        <v>0</v>
      </c>
      <c r="K10" s="83">
        <f t="shared" si="0"/>
        <v>0</v>
      </c>
      <c r="L10" s="83">
        <f t="shared" si="0"/>
        <v>0</v>
      </c>
      <c r="M10" s="83">
        <f t="shared" si="0"/>
        <v>0</v>
      </c>
      <c r="N10" s="83">
        <f t="shared" si="0"/>
        <v>0</v>
      </c>
      <c r="O10" s="83">
        <f t="shared" si="0"/>
        <v>0</v>
      </c>
      <c r="P10" s="83">
        <f t="shared" si="0"/>
        <v>0</v>
      </c>
      <c r="Q10" s="83">
        <f t="shared" si="0"/>
        <v>0</v>
      </c>
      <c r="R10" s="83">
        <f t="shared" si="0"/>
        <v>0</v>
      </c>
      <c r="S10" s="83">
        <f t="shared" si="0"/>
        <v>0</v>
      </c>
      <c r="T10" s="83">
        <f t="shared" si="0"/>
        <v>0</v>
      </c>
      <c r="U10" s="83">
        <f t="shared" si="0"/>
        <v>0</v>
      </c>
      <c r="V10" s="83">
        <f t="shared" si="0"/>
        <v>0</v>
      </c>
      <c r="W10" s="83">
        <f t="shared" si="0"/>
        <v>0</v>
      </c>
      <c r="X10" s="83">
        <f t="shared" si="0"/>
        <v>0</v>
      </c>
    </row>
    <row r="16" spans="1:24" x14ac:dyDescent="0.45">
      <c r="A16" s="18" t="s">
        <v>90</v>
      </c>
    </row>
    <row r="17" spans="1:9" x14ac:dyDescent="0.45">
      <c r="A17" s="248" t="s">
        <v>346</v>
      </c>
      <c r="B17" s="248"/>
      <c r="C17" s="248"/>
      <c r="D17" s="248"/>
      <c r="E17" s="248"/>
      <c r="F17" s="248"/>
      <c r="G17" s="248"/>
      <c r="H17" s="248"/>
      <c r="I17" s="248"/>
    </row>
    <row r="18" spans="1:9" x14ac:dyDescent="0.45">
      <c r="A18" t="s">
        <v>347</v>
      </c>
    </row>
  </sheetData>
  <mergeCells count="2">
    <mergeCell ref="A1:X1"/>
    <mergeCell ref="A17:I17"/>
  </mergeCells>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X17"/>
  <sheetViews>
    <sheetView workbookViewId="0"/>
  </sheetViews>
  <sheetFormatPr defaultRowHeight="14.25" x14ac:dyDescent="0.45"/>
  <cols>
    <col min="1" max="1" width="17.33203125" customWidth="1"/>
    <col min="2" max="2" width="12" customWidth="1"/>
    <col min="3" max="3" width="35" customWidth="1"/>
    <col min="4" max="4" width="20" customWidth="1"/>
    <col min="5" max="24" width="10" customWidth="1"/>
  </cols>
  <sheetData>
    <row r="1" spans="1:24" ht="15.75" x14ac:dyDescent="0.55000000000000004">
      <c r="A1" s="233" t="s">
        <v>348</v>
      </c>
      <c r="B1" s="234"/>
      <c r="C1" s="234"/>
      <c r="D1" s="234"/>
      <c r="E1" s="234"/>
      <c r="F1" s="234"/>
      <c r="G1" s="234"/>
      <c r="H1" s="234"/>
      <c r="I1" s="234"/>
      <c r="J1" s="234"/>
      <c r="K1" s="234"/>
      <c r="L1" s="234"/>
      <c r="M1" s="234"/>
      <c r="N1" s="234"/>
      <c r="O1" s="234"/>
      <c r="P1" s="234"/>
      <c r="Q1" s="234"/>
      <c r="R1" s="234"/>
      <c r="S1" s="234"/>
      <c r="T1" s="234"/>
      <c r="U1" s="234"/>
      <c r="V1" s="234"/>
      <c r="W1" s="234"/>
      <c r="X1" s="235"/>
    </row>
    <row r="4" spans="1:24" x14ac:dyDescent="0.45">
      <c r="A4" s="1" t="s">
        <v>87</v>
      </c>
      <c r="B4" s="1" t="s">
        <v>88</v>
      </c>
      <c r="C4" s="1" t="s">
        <v>170</v>
      </c>
      <c r="D4" s="1" t="s">
        <v>90</v>
      </c>
      <c r="E4" s="64" t="s">
        <v>91</v>
      </c>
      <c r="F4" s="64" t="s">
        <v>92</v>
      </c>
      <c r="G4" s="64" t="s">
        <v>93</v>
      </c>
      <c r="H4" s="64" t="s">
        <v>94</v>
      </c>
      <c r="I4" s="64" t="s">
        <v>95</v>
      </c>
      <c r="J4" s="64" t="s">
        <v>96</v>
      </c>
      <c r="K4" s="64" t="s">
        <v>97</v>
      </c>
      <c r="L4" s="64" t="s">
        <v>98</v>
      </c>
      <c r="M4" s="64" t="s">
        <v>99</v>
      </c>
      <c r="N4" s="64" t="s">
        <v>100</v>
      </c>
      <c r="O4" s="64" t="s">
        <v>101</v>
      </c>
      <c r="P4" s="64" t="s">
        <v>102</v>
      </c>
      <c r="Q4" s="64" t="s">
        <v>103</v>
      </c>
      <c r="R4" s="64" t="s">
        <v>104</v>
      </c>
      <c r="S4" s="64" t="s">
        <v>105</v>
      </c>
      <c r="T4" s="64" t="s">
        <v>106</v>
      </c>
      <c r="U4" s="64" t="s">
        <v>107</v>
      </c>
      <c r="V4" s="64" t="s">
        <v>108</v>
      </c>
      <c r="W4" s="64" t="s">
        <v>109</v>
      </c>
      <c r="X4" s="64" t="s">
        <v>110</v>
      </c>
    </row>
    <row r="5" spans="1:24" x14ac:dyDescent="0.45">
      <c r="A5" t="s">
        <v>343</v>
      </c>
      <c r="B5" t="s">
        <v>300</v>
      </c>
      <c r="C5" t="s">
        <v>41</v>
      </c>
      <c r="D5" t="s">
        <v>349</v>
      </c>
      <c r="E5" s="108">
        <f>Eq2_Delta_biomass!E10</f>
        <v>6487.38</v>
      </c>
      <c r="F5" s="108">
        <f>Eq2_Delta_biomass!F10</f>
        <v>30468.880000000001</v>
      </c>
      <c r="G5" s="108">
        <f>Eq2_Delta_biomass!G10</f>
        <v>91230.6</v>
      </c>
      <c r="H5" s="108">
        <f>Eq2_Delta_biomass!H10</f>
        <v>167040.6</v>
      </c>
      <c r="I5" s="108">
        <f>Eq2_Delta_biomass!I10</f>
        <v>271633</v>
      </c>
      <c r="J5" s="108">
        <f>Eq2_Delta_biomass!J10</f>
        <v>369196</v>
      </c>
      <c r="K5" s="108">
        <f>Eq2_Delta_biomass!K10</f>
        <v>495970.59999999992</v>
      </c>
      <c r="L5" s="108">
        <f>Eq2_Delta_biomass!L10</f>
        <v>640359</v>
      </c>
      <c r="M5" s="108">
        <f>Eq2_Delta_biomass!M10</f>
        <v>730966</v>
      </c>
      <c r="N5" s="108">
        <f>Eq2_Delta_biomass!N10</f>
        <v>821103</v>
      </c>
      <c r="O5" s="108">
        <f>Eq2_Delta_biomass!O10</f>
        <v>931450</v>
      </c>
      <c r="P5" s="108">
        <f>Eq2_Delta_biomass!P10</f>
        <v>1023843</v>
      </c>
      <c r="Q5" s="108">
        <f>Eq2_Delta_biomass!Q10</f>
        <v>1116424</v>
      </c>
      <c r="R5" s="108">
        <f>Eq2_Delta_biomass!R10</f>
        <v>1208817</v>
      </c>
      <c r="S5" s="108">
        <f>Eq2_Delta_biomass!S10</f>
        <v>1301398</v>
      </c>
      <c r="T5" s="108">
        <f>Eq2_Delta_biomass!T10</f>
        <v>1393791</v>
      </c>
      <c r="U5" s="108">
        <f>Eq2_Delta_biomass!U10</f>
        <v>1449414.8</v>
      </c>
      <c r="V5" s="108">
        <f>Eq2_Delta_biomass!V10</f>
        <v>1486372</v>
      </c>
      <c r="W5" s="108">
        <f>Eq2_Delta_biomass!W10</f>
        <v>1523517.2</v>
      </c>
      <c r="X5" s="108">
        <f>Eq2_Delta_biomass!X10</f>
        <v>1560662.4</v>
      </c>
    </row>
    <row r="6" spans="1:24" x14ac:dyDescent="0.45">
      <c r="A6" t="s">
        <v>350</v>
      </c>
      <c r="B6" t="s">
        <v>300</v>
      </c>
      <c r="C6" t="s">
        <v>22</v>
      </c>
      <c r="D6" t="s">
        <v>351</v>
      </c>
      <c r="E6" s="108">
        <f>Eq11_Delta_SOC!E9</f>
        <v>1000</v>
      </c>
      <c r="F6" s="108">
        <f>Eq11_Delta_SOC!F9</f>
        <v>4000</v>
      </c>
      <c r="G6" s="108">
        <f>Eq11_Delta_SOC!G9</f>
        <v>6000</v>
      </c>
      <c r="H6" s="108">
        <f>Eq11_Delta_SOC!H9</f>
        <v>8000</v>
      </c>
      <c r="I6" s="108">
        <f>Eq11_Delta_SOC!I9</f>
        <v>10000</v>
      </c>
      <c r="J6" s="108">
        <f>Eq11_Delta_SOC!J9</f>
        <v>12000</v>
      </c>
      <c r="K6" s="108">
        <f>Eq11_Delta_SOC!K9</f>
        <v>14000</v>
      </c>
      <c r="L6" s="108">
        <f>Eq11_Delta_SOC!L9</f>
        <v>16000</v>
      </c>
      <c r="M6" s="108">
        <f>Eq11_Delta_SOC!M9</f>
        <v>18000</v>
      </c>
      <c r="N6" s="108">
        <f>Eq11_Delta_SOC!N9</f>
        <v>20000</v>
      </c>
      <c r="O6" s="108">
        <f>Eq11_Delta_SOC!O9</f>
        <v>22000</v>
      </c>
      <c r="P6" s="108">
        <f>Eq11_Delta_SOC!P9</f>
        <v>24000</v>
      </c>
      <c r="Q6" s="108">
        <f>Eq11_Delta_SOC!Q9</f>
        <v>26000</v>
      </c>
      <c r="R6" s="108">
        <f>Eq11_Delta_SOC!R9</f>
        <v>28000</v>
      </c>
      <c r="S6" s="108">
        <f>Eq11_Delta_SOC!S9</f>
        <v>30000</v>
      </c>
      <c r="T6" s="108">
        <f>Eq11_Delta_SOC!T9</f>
        <v>32000</v>
      </c>
      <c r="U6" s="108">
        <f>Eq11_Delta_SOC!U9</f>
        <v>34000</v>
      </c>
      <c r="V6" s="108">
        <f>Eq11_Delta_SOC!V9</f>
        <v>36000</v>
      </c>
      <c r="W6" s="108">
        <f>Eq11_Delta_SOC!W9</f>
        <v>38000</v>
      </c>
      <c r="X6" s="108">
        <f>Eq11_Delta_SOC!X9</f>
        <v>40000</v>
      </c>
    </row>
    <row r="7" spans="1:24" ht="15.75" x14ac:dyDescent="0.55000000000000004">
      <c r="A7" t="s">
        <v>352</v>
      </c>
      <c r="C7" t="s">
        <v>353</v>
      </c>
      <c r="D7" t="s">
        <v>354</v>
      </c>
      <c r="E7" s="117">
        <f>Biomass!$A29</f>
        <v>3.6666666666666701</v>
      </c>
      <c r="F7" s="117">
        <f>Biomass!$A29</f>
        <v>3.6666666666666701</v>
      </c>
      <c r="G7" s="117">
        <f>Biomass!$A29</f>
        <v>3.6666666666666701</v>
      </c>
      <c r="H7" s="117">
        <f>Biomass!$A29</f>
        <v>3.6666666666666701</v>
      </c>
      <c r="I7" s="117">
        <f>Biomass!$A29</f>
        <v>3.6666666666666701</v>
      </c>
      <c r="J7" s="117">
        <f>Biomass!$A29</f>
        <v>3.6666666666666701</v>
      </c>
      <c r="K7" s="117">
        <f>Biomass!$A29</f>
        <v>3.6666666666666701</v>
      </c>
      <c r="L7" s="117">
        <f>Biomass!$A29</f>
        <v>3.6666666666666701</v>
      </c>
      <c r="M7" s="117">
        <f>Biomass!$A29</f>
        <v>3.6666666666666701</v>
      </c>
      <c r="N7" s="117">
        <f>Biomass!$A29</f>
        <v>3.6666666666666701</v>
      </c>
      <c r="O7" s="117">
        <f>Biomass!$A29</f>
        <v>3.6666666666666701</v>
      </c>
      <c r="P7" s="117">
        <f>Biomass!$A29</f>
        <v>3.6666666666666701</v>
      </c>
      <c r="Q7" s="117">
        <f>Biomass!$A29</f>
        <v>3.6666666666666701</v>
      </c>
      <c r="R7" s="117">
        <f>Biomass!$A29</f>
        <v>3.6666666666666701</v>
      </c>
      <c r="S7" s="117">
        <f>Biomass!$A29</f>
        <v>3.6666666666666701</v>
      </c>
      <c r="T7" s="117">
        <f>Biomass!$A29</f>
        <v>3.6666666666666701</v>
      </c>
      <c r="U7" s="117">
        <f>Biomass!$A29</f>
        <v>3.6666666666666701</v>
      </c>
      <c r="V7" s="117">
        <f>Biomass!$A29</f>
        <v>3.6666666666666701</v>
      </c>
      <c r="W7" s="117">
        <f>Biomass!$A29</f>
        <v>3.6666666666666701</v>
      </c>
      <c r="X7" s="117">
        <f>Biomass!$A29</f>
        <v>3.6666666666666701</v>
      </c>
    </row>
    <row r="8" spans="1:24" x14ac:dyDescent="0.45">
      <c r="E8" s="3"/>
      <c r="F8" s="3"/>
      <c r="G8" s="3"/>
      <c r="H8" s="3"/>
      <c r="I8" s="3"/>
      <c r="J8" s="3"/>
      <c r="K8" s="3"/>
      <c r="L8" s="3"/>
      <c r="M8" s="3"/>
      <c r="N8" s="3"/>
      <c r="O8" s="3"/>
      <c r="P8" s="3"/>
      <c r="Q8" s="3"/>
      <c r="R8" s="3"/>
      <c r="S8" s="3"/>
      <c r="T8" s="3"/>
      <c r="U8" s="3"/>
      <c r="V8" s="3"/>
      <c r="W8" s="3"/>
      <c r="X8" s="3"/>
    </row>
    <row r="9" spans="1:24" s="7" customFormat="1" ht="15.75" customHeight="1" x14ac:dyDescent="0.55000000000000004">
      <c r="A9" s="45" t="s">
        <v>355</v>
      </c>
      <c r="B9" s="45" t="s">
        <v>356</v>
      </c>
      <c r="C9" s="45" t="s">
        <v>357</v>
      </c>
      <c r="D9" s="46"/>
      <c r="E9" s="83">
        <f>(E5+E6)*E7</f>
        <v>27453.726666666691</v>
      </c>
      <c r="F9" s="83">
        <f t="shared" ref="F9:X9" si="0">(F5+F6)*F7</f>
        <v>126385.89333333347</v>
      </c>
      <c r="G9" s="83">
        <f t="shared" si="0"/>
        <v>356512.20000000036</v>
      </c>
      <c r="H9" s="83">
        <f>(H5+H6)*H7</f>
        <v>641815.53333333391</v>
      </c>
      <c r="I9" s="83">
        <f>(I5+I6)*I7</f>
        <v>1032654.3333333343</v>
      </c>
      <c r="J9" s="83">
        <f t="shared" si="0"/>
        <v>1397718.6666666679</v>
      </c>
      <c r="K9" s="83">
        <f t="shared" si="0"/>
        <v>1869892.2000000014</v>
      </c>
      <c r="L9" s="83">
        <f t="shared" si="0"/>
        <v>2406649.6666666688</v>
      </c>
      <c r="M9" s="83">
        <f t="shared" si="0"/>
        <v>2746208.6666666693</v>
      </c>
      <c r="N9" s="83">
        <f t="shared" si="0"/>
        <v>3084044.3333333363</v>
      </c>
      <c r="O9" s="83">
        <f t="shared" si="0"/>
        <v>3495983.3333333367</v>
      </c>
      <c r="P9" s="83">
        <f t="shared" si="0"/>
        <v>3842091.0000000037</v>
      </c>
      <c r="Q9" s="83">
        <f t="shared" si="0"/>
        <v>4188888.0000000037</v>
      </c>
      <c r="R9" s="83">
        <f t="shared" si="0"/>
        <v>4534995.6666666707</v>
      </c>
      <c r="S9" s="83">
        <f t="shared" si="0"/>
        <v>4881792.6666666716</v>
      </c>
      <c r="T9" s="83">
        <f t="shared" si="0"/>
        <v>5227900.3333333386</v>
      </c>
      <c r="U9" s="83">
        <f t="shared" si="0"/>
        <v>5439187.6000000052</v>
      </c>
      <c r="V9" s="83">
        <f t="shared" si="0"/>
        <v>5582030.6666666716</v>
      </c>
      <c r="W9" s="83">
        <f t="shared" si="0"/>
        <v>5725563.066666672</v>
      </c>
      <c r="X9" s="83">
        <f t="shared" si="0"/>
        <v>5869095.4666666714</v>
      </c>
    </row>
    <row r="11" spans="1:24" x14ac:dyDescent="0.45">
      <c r="D11" s="137" t="s">
        <v>358</v>
      </c>
      <c r="E11" s="119">
        <f t="shared" ref="E11:S11" si="1">E9-D9</f>
        <v>27453.726666666691</v>
      </c>
      <c r="F11" s="119">
        <f t="shared" si="1"/>
        <v>98932.166666666773</v>
      </c>
      <c r="G11" s="119">
        <f t="shared" si="1"/>
        <v>230126.30666666687</v>
      </c>
      <c r="H11" s="119">
        <f t="shared" si="1"/>
        <v>285303.33333333355</v>
      </c>
      <c r="I11" s="119">
        <f t="shared" si="1"/>
        <v>390838.8000000004</v>
      </c>
      <c r="J11" s="119">
        <f t="shared" si="1"/>
        <v>365064.3333333336</v>
      </c>
      <c r="K11" s="119">
        <f t="shared" si="1"/>
        <v>472173.53333333344</v>
      </c>
      <c r="L11" s="119">
        <f t="shared" si="1"/>
        <v>536757.46666666749</v>
      </c>
      <c r="M11" s="119">
        <f t="shared" si="1"/>
        <v>339559.00000000047</v>
      </c>
      <c r="N11" s="119">
        <f t="shared" si="1"/>
        <v>337835.66666666698</v>
      </c>
      <c r="O11" s="119">
        <f t="shared" si="1"/>
        <v>411939.00000000047</v>
      </c>
      <c r="P11" s="119">
        <f t="shared" si="1"/>
        <v>346107.66666666698</v>
      </c>
      <c r="Q11" s="119">
        <f t="shared" si="1"/>
        <v>346797</v>
      </c>
      <c r="R11" s="119">
        <f t="shared" si="1"/>
        <v>346107.66666666698</v>
      </c>
      <c r="S11" s="119">
        <f t="shared" si="1"/>
        <v>346797.00000000093</v>
      </c>
      <c r="T11" s="119">
        <f t="shared" ref="T11:X11" si="2">T9-S9</f>
        <v>346107.66666666698</v>
      </c>
      <c r="U11" s="119">
        <f t="shared" si="2"/>
        <v>211287.2666666666</v>
      </c>
      <c r="V11" s="119">
        <f t="shared" si="2"/>
        <v>142843.06666666642</v>
      </c>
      <c r="W11" s="119">
        <f t="shared" si="2"/>
        <v>143532.40000000037</v>
      </c>
      <c r="X11" s="119">
        <f t="shared" si="2"/>
        <v>143532.39999999944</v>
      </c>
    </row>
    <row r="12" spans="1:24" x14ac:dyDescent="0.45">
      <c r="D12" s="137" t="s">
        <v>358</v>
      </c>
      <c r="F12" s="122">
        <f>+F11/E11</f>
        <v>3.6035969858615435</v>
      </c>
      <c r="G12" s="122">
        <f t="shared" ref="G12:X12" si="3">+G11/F11</f>
        <v>2.3261019587495131</v>
      </c>
      <c r="H12" s="122">
        <f t="shared" si="3"/>
        <v>1.2397684448418556</v>
      </c>
      <c r="I12" s="122">
        <f t="shared" si="3"/>
        <v>1.3699061817247145</v>
      </c>
      <c r="J12" s="122">
        <f t="shared" si="3"/>
        <v>0.93405345972133069</v>
      </c>
      <c r="K12" s="122">
        <f t="shared" si="3"/>
        <v>1.2933981499151284</v>
      </c>
      <c r="L12" s="122">
        <f t="shared" si="3"/>
        <v>1.1367800793013545</v>
      </c>
      <c r="M12" s="122">
        <f t="shared" si="3"/>
        <v>0.63261160037270703</v>
      </c>
      <c r="N12" s="122">
        <f t="shared" si="3"/>
        <v>0.9949247897027218</v>
      </c>
      <c r="O12" s="122">
        <f t="shared" si="3"/>
        <v>1.2193472763384963</v>
      </c>
      <c r="P12" s="122">
        <f t="shared" si="3"/>
        <v>0.84019154939606733</v>
      </c>
      <c r="Q12" s="122">
        <f t="shared" si="3"/>
        <v>1.0019916731113527</v>
      </c>
      <c r="R12" s="122">
        <f t="shared" si="3"/>
        <v>0.99801228576564094</v>
      </c>
      <c r="S12" s="122">
        <f t="shared" si="3"/>
        <v>1.0019916731113554</v>
      </c>
      <c r="T12" s="122">
        <f t="shared" si="3"/>
        <v>0.99801228576563827</v>
      </c>
      <c r="U12" s="122">
        <f t="shared" si="3"/>
        <v>0.61046687784051712</v>
      </c>
      <c r="V12" s="122">
        <f t="shared" si="3"/>
        <v>0.67606093315609073</v>
      </c>
      <c r="W12" s="122">
        <f t="shared" si="3"/>
        <v>1.0048258088363684</v>
      </c>
      <c r="X12" s="122">
        <f t="shared" si="3"/>
        <v>0.99999999999999356</v>
      </c>
    </row>
    <row r="16" spans="1:24" x14ac:dyDescent="0.45">
      <c r="A16" s="18" t="s">
        <v>90</v>
      </c>
    </row>
    <row r="17" spans="1:9" x14ac:dyDescent="0.45">
      <c r="A17" s="245"/>
      <c r="B17" s="245"/>
      <c r="C17" s="245"/>
      <c r="D17" s="245"/>
      <c r="E17" s="245"/>
      <c r="F17" s="245"/>
      <c r="G17" s="245"/>
      <c r="H17" s="245"/>
      <c r="I17" s="245"/>
    </row>
  </sheetData>
  <mergeCells count="2">
    <mergeCell ref="A1:X1"/>
    <mergeCell ref="A17:I17"/>
  </mergeCells>
  <pageMargins left="0.75" right="0.75" top="1" bottom="1" header="0.5" footer="0.5"/>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X20"/>
  <sheetViews>
    <sheetView workbookViewId="0"/>
  </sheetViews>
  <sheetFormatPr defaultRowHeight="14.25" x14ac:dyDescent="0.45"/>
  <cols>
    <col min="1" max="1" width="15" customWidth="1"/>
    <col min="2" max="2" width="12" customWidth="1"/>
    <col min="3" max="3" width="35" customWidth="1"/>
    <col min="4" max="4" width="20" customWidth="1"/>
    <col min="5" max="24" width="10" customWidth="1"/>
  </cols>
  <sheetData>
    <row r="1" spans="1:24" ht="15.75" x14ac:dyDescent="0.55000000000000004">
      <c r="A1" s="233" t="s">
        <v>359</v>
      </c>
      <c r="B1" s="234"/>
      <c r="C1" s="234"/>
      <c r="D1" s="234"/>
      <c r="E1" s="234"/>
      <c r="F1" s="234"/>
      <c r="G1" s="234"/>
      <c r="H1" s="234"/>
      <c r="I1" s="234"/>
      <c r="J1" s="234"/>
      <c r="K1" s="234"/>
      <c r="L1" s="234"/>
      <c r="M1" s="234"/>
      <c r="N1" s="234"/>
      <c r="O1" s="234"/>
      <c r="P1" s="234"/>
      <c r="Q1" s="234"/>
      <c r="R1" s="234"/>
      <c r="S1" s="234"/>
      <c r="T1" s="234"/>
      <c r="U1" s="234"/>
      <c r="V1" s="234"/>
      <c r="W1" s="234"/>
      <c r="X1" s="235"/>
    </row>
    <row r="4" spans="1:24" x14ac:dyDescent="0.45">
      <c r="A4" s="1" t="s">
        <v>87</v>
      </c>
      <c r="B4" s="1" t="s">
        <v>88</v>
      </c>
      <c r="C4" s="1" t="s">
        <v>170</v>
      </c>
      <c r="D4" s="1" t="s">
        <v>90</v>
      </c>
      <c r="E4" s="64" t="s">
        <v>91</v>
      </c>
      <c r="F4" s="64" t="s">
        <v>92</v>
      </c>
      <c r="G4" s="64" t="s">
        <v>93</v>
      </c>
      <c r="H4" s="64" t="s">
        <v>94</v>
      </c>
      <c r="I4" s="64" t="s">
        <v>95</v>
      </c>
      <c r="J4" s="64" t="s">
        <v>96</v>
      </c>
      <c r="K4" s="64" t="s">
        <v>97</v>
      </c>
      <c r="L4" s="64" t="s">
        <v>98</v>
      </c>
      <c r="M4" s="64" t="s">
        <v>99</v>
      </c>
      <c r="N4" s="64" t="s">
        <v>100</v>
      </c>
      <c r="O4" s="64" t="s">
        <v>101</v>
      </c>
      <c r="P4" s="64" t="s">
        <v>102</v>
      </c>
      <c r="Q4" s="64" t="s">
        <v>103</v>
      </c>
      <c r="R4" s="64" t="s">
        <v>104</v>
      </c>
      <c r="S4" s="64" t="s">
        <v>105</v>
      </c>
      <c r="T4" s="64" t="s">
        <v>106</v>
      </c>
      <c r="U4" s="64" t="s">
        <v>107</v>
      </c>
      <c r="V4" s="64" t="s">
        <v>108</v>
      </c>
      <c r="W4" s="64" t="s">
        <v>109</v>
      </c>
      <c r="X4" s="64" t="s">
        <v>110</v>
      </c>
    </row>
    <row r="5" spans="1:24" ht="15.75" x14ac:dyDescent="0.55000000000000004">
      <c r="A5" t="s">
        <v>355</v>
      </c>
      <c r="B5" t="s">
        <v>360</v>
      </c>
      <c r="C5" t="s">
        <v>361</v>
      </c>
      <c r="D5" t="s">
        <v>362</v>
      </c>
      <c r="E5" s="108">
        <f>Eq1_Project_total!E9</f>
        <v>27453.726666666691</v>
      </c>
      <c r="F5" s="108">
        <f>Eq1_Project_total!F9</f>
        <v>126385.89333333347</v>
      </c>
      <c r="G5" s="108">
        <f>Eq1_Project_total!G9</f>
        <v>356512.20000000036</v>
      </c>
      <c r="H5" s="108">
        <f>Eq1_Project_total!H9</f>
        <v>641815.53333333391</v>
      </c>
      <c r="I5" s="108">
        <f>Eq1_Project_total!I9</f>
        <v>1032654.3333333343</v>
      </c>
      <c r="J5" s="108">
        <f>Eq1_Project_total!J9</f>
        <v>1397718.6666666679</v>
      </c>
      <c r="K5" s="108">
        <f>Eq1_Project_total!K9</f>
        <v>1869892.2000000014</v>
      </c>
      <c r="L5" s="108">
        <f>Eq1_Project_total!L9</f>
        <v>2406649.6666666688</v>
      </c>
      <c r="M5" s="108">
        <f>Eq1_Project_total!M9</f>
        <v>2746208.6666666693</v>
      </c>
      <c r="N5" s="108">
        <f>Eq1_Project_total!N9</f>
        <v>3084044.3333333363</v>
      </c>
      <c r="O5" s="108">
        <f>Eq1_Project_total!O9</f>
        <v>3495983.3333333367</v>
      </c>
      <c r="P5" s="108">
        <f>Eq1_Project_total!P9</f>
        <v>3842091.0000000037</v>
      </c>
      <c r="Q5" s="108">
        <f>Eq1_Project_total!Q9</f>
        <v>4188888.0000000037</v>
      </c>
      <c r="R5" s="108">
        <f>Eq1_Project_total!R9</f>
        <v>4534995.6666666707</v>
      </c>
      <c r="S5" s="108">
        <f>Eq1_Project_total!S9</f>
        <v>4881792.6666666716</v>
      </c>
      <c r="T5" s="108">
        <f>Eq1_Project_total!T9</f>
        <v>5227900.3333333386</v>
      </c>
      <c r="U5" s="108">
        <f>Eq1_Project_total!U9</f>
        <v>5439187.6000000052</v>
      </c>
      <c r="V5" s="108">
        <f>Eq1_Project_total!V9</f>
        <v>5582030.6666666716</v>
      </c>
      <c r="W5" s="108">
        <f>Eq1_Project_total!W9</f>
        <v>5725563.066666672</v>
      </c>
      <c r="X5" s="108">
        <f>Eq1_Project_total!X9</f>
        <v>5869095.4666666714</v>
      </c>
    </row>
    <row r="6" spans="1:24" x14ac:dyDescent="0.45">
      <c r="A6" t="s">
        <v>363</v>
      </c>
      <c r="C6" t="s">
        <v>364</v>
      </c>
      <c r="D6" t="s">
        <v>365</v>
      </c>
      <c r="E6" s="100">
        <v>0.2</v>
      </c>
      <c r="F6" s="100">
        <v>0.2</v>
      </c>
      <c r="G6" s="100">
        <v>0.2</v>
      </c>
      <c r="H6" s="100">
        <v>0.2</v>
      </c>
      <c r="I6" s="100">
        <v>0.2</v>
      </c>
      <c r="J6" s="100">
        <v>0.2</v>
      </c>
      <c r="K6" s="100">
        <v>0.2</v>
      </c>
      <c r="L6" s="100">
        <v>0.2</v>
      </c>
      <c r="M6" s="100">
        <v>0.2</v>
      </c>
      <c r="N6" s="100">
        <v>0.2</v>
      </c>
      <c r="O6" s="100">
        <v>0.2</v>
      </c>
      <c r="P6" s="100">
        <v>0.2</v>
      </c>
      <c r="Q6" s="100">
        <v>0.2</v>
      </c>
      <c r="R6" s="100">
        <v>0.2</v>
      </c>
      <c r="S6" s="100">
        <v>0.2</v>
      </c>
      <c r="T6" s="100">
        <v>0.2</v>
      </c>
      <c r="U6" s="100">
        <v>0.2</v>
      </c>
      <c r="V6" s="100">
        <v>0.2</v>
      </c>
      <c r="W6" s="100">
        <v>0.2</v>
      </c>
      <c r="X6" s="100">
        <v>0.2</v>
      </c>
    </row>
    <row r="7" spans="1:24" x14ac:dyDescent="0.45">
      <c r="A7" t="s">
        <v>366</v>
      </c>
      <c r="B7" t="s">
        <v>367</v>
      </c>
      <c r="C7" t="s">
        <v>368</v>
      </c>
      <c r="D7" t="s">
        <v>369</v>
      </c>
      <c r="E7" s="100">
        <v>0.1</v>
      </c>
      <c r="F7" s="100">
        <v>0.1</v>
      </c>
      <c r="G7" s="100">
        <v>0.1</v>
      </c>
      <c r="H7" s="100">
        <v>0.1</v>
      </c>
      <c r="I7" s="100">
        <v>0.1</v>
      </c>
      <c r="J7" s="100">
        <v>0.1</v>
      </c>
      <c r="K7" s="100">
        <v>0.1</v>
      </c>
      <c r="L7" s="100">
        <v>0.1</v>
      </c>
      <c r="M7" s="100">
        <v>0.1</v>
      </c>
      <c r="N7" s="100">
        <v>0.1</v>
      </c>
      <c r="O7" s="100">
        <v>0.1</v>
      </c>
      <c r="P7" s="100">
        <v>0.1</v>
      </c>
      <c r="Q7" s="100">
        <v>0.1</v>
      </c>
      <c r="R7" s="100">
        <v>0.1</v>
      </c>
      <c r="S7" s="100">
        <v>0.1</v>
      </c>
      <c r="T7" s="100">
        <v>0.1</v>
      </c>
      <c r="U7" s="100">
        <v>0.1</v>
      </c>
      <c r="V7" s="100">
        <v>0.1</v>
      </c>
      <c r="W7" s="100">
        <v>0.1</v>
      </c>
      <c r="X7" s="100">
        <v>0.1</v>
      </c>
    </row>
    <row r="8" spans="1:24" ht="15.75" x14ac:dyDescent="0.55000000000000004">
      <c r="A8" t="s">
        <v>370</v>
      </c>
      <c r="B8" t="s">
        <v>360</v>
      </c>
      <c r="C8" t="s">
        <v>371</v>
      </c>
      <c r="D8" t="s">
        <v>372</v>
      </c>
      <c r="E8" s="100">
        <v>0</v>
      </c>
      <c r="F8" s="100">
        <v>0</v>
      </c>
      <c r="G8" s="100">
        <v>0</v>
      </c>
      <c r="H8" s="100">
        <v>0</v>
      </c>
      <c r="I8" s="100">
        <v>0</v>
      </c>
      <c r="J8" s="100">
        <v>0</v>
      </c>
      <c r="K8" s="100">
        <v>0</v>
      </c>
      <c r="L8" s="100">
        <v>0</v>
      </c>
      <c r="M8" s="100">
        <v>0</v>
      </c>
      <c r="N8" s="100">
        <v>0</v>
      </c>
      <c r="O8" s="100">
        <v>0</v>
      </c>
      <c r="P8" s="100">
        <v>0</v>
      </c>
      <c r="Q8" s="100">
        <v>0</v>
      </c>
      <c r="R8" s="100">
        <v>0</v>
      </c>
      <c r="S8" s="100">
        <v>0</v>
      </c>
      <c r="T8" s="100">
        <v>0</v>
      </c>
      <c r="U8" s="100">
        <v>0</v>
      </c>
      <c r="V8" s="100">
        <v>0</v>
      </c>
      <c r="W8" s="100">
        <v>0</v>
      </c>
      <c r="X8" s="100">
        <v>0</v>
      </c>
    </row>
    <row r="9" spans="1:24" ht="15.75" x14ac:dyDescent="0.55000000000000004">
      <c r="A9" t="s">
        <v>373</v>
      </c>
      <c r="B9" t="s">
        <v>360</v>
      </c>
      <c r="C9" t="s">
        <v>374</v>
      </c>
      <c r="D9" t="s">
        <v>375</v>
      </c>
      <c r="E9" s="100">
        <v>0.05</v>
      </c>
      <c r="F9" s="100">
        <v>0.05</v>
      </c>
      <c r="G9" s="100">
        <v>0.05</v>
      </c>
      <c r="H9" s="100">
        <v>0.05</v>
      </c>
      <c r="I9" s="100">
        <v>0.05</v>
      </c>
      <c r="J9" s="100">
        <v>0.05</v>
      </c>
      <c r="K9" s="100">
        <v>0.05</v>
      </c>
      <c r="L9" s="100">
        <v>0.05</v>
      </c>
      <c r="M9" s="100">
        <v>0.05</v>
      </c>
      <c r="N9" s="100">
        <v>0.05</v>
      </c>
      <c r="O9" s="100">
        <v>0.05</v>
      </c>
      <c r="P9" s="100">
        <v>0.05</v>
      </c>
      <c r="Q9" s="100">
        <v>0.05</v>
      </c>
      <c r="R9" s="100">
        <v>0.05</v>
      </c>
      <c r="S9" s="100">
        <v>0.05</v>
      </c>
      <c r="T9" s="100">
        <v>0.05</v>
      </c>
      <c r="U9" s="100">
        <v>0.05</v>
      </c>
      <c r="V9" s="100">
        <v>0.05</v>
      </c>
      <c r="W9" s="100">
        <v>0.05</v>
      </c>
      <c r="X9" s="100">
        <v>0.05</v>
      </c>
    </row>
    <row r="10" spans="1:24" x14ac:dyDescent="0.45">
      <c r="A10" t="s">
        <v>376</v>
      </c>
      <c r="B10" t="s">
        <v>367</v>
      </c>
      <c r="C10" t="s">
        <v>377</v>
      </c>
      <c r="E10" s="100">
        <v>0.2</v>
      </c>
      <c r="F10" s="100">
        <v>0.2</v>
      </c>
      <c r="G10" s="100">
        <v>0.2</v>
      </c>
      <c r="H10" s="100">
        <v>0.2</v>
      </c>
      <c r="I10" s="100">
        <v>0.2</v>
      </c>
      <c r="J10" s="100">
        <v>0.2</v>
      </c>
      <c r="K10" s="100">
        <v>0.2</v>
      </c>
      <c r="L10" s="100">
        <v>0.2</v>
      </c>
      <c r="M10" s="100">
        <v>0.2</v>
      </c>
      <c r="N10" s="100">
        <v>0.2</v>
      </c>
      <c r="O10" s="100">
        <v>0.2</v>
      </c>
      <c r="P10" s="100">
        <v>0.2</v>
      </c>
      <c r="Q10" s="100">
        <v>0.2</v>
      </c>
      <c r="R10" s="100">
        <v>0.2</v>
      </c>
      <c r="S10" s="100">
        <v>0.2</v>
      </c>
      <c r="T10" s="100">
        <v>0.2</v>
      </c>
      <c r="U10" s="100">
        <v>0.2</v>
      </c>
      <c r="V10" s="100">
        <v>0.2</v>
      </c>
      <c r="W10" s="100">
        <v>0.2</v>
      </c>
      <c r="X10" s="100">
        <v>0.2</v>
      </c>
    </row>
    <row r="11" spans="1:24" s="7" customFormat="1" ht="15.75" x14ac:dyDescent="0.55000000000000004">
      <c r="A11" s="45" t="s">
        <v>378</v>
      </c>
      <c r="B11" s="45" t="s">
        <v>356</v>
      </c>
      <c r="C11" s="45" t="s">
        <v>379</v>
      </c>
      <c r="D11" s="46"/>
      <c r="E11" s="83">
        <f>E5*(1-E6)*(1-E7)*(1-E9)*(1-E10)-E8</f>
        <v>15022.679232000017</v>
      </c>
      <c r="F11" s="83">
        <f t="shared" ref="F11:X11" si="0">(F5*(1-F6)*(1-F7)*(1-F9)*(1-F10)-F8)-(E5*(1-E6)*(1-E7)*(1-E9)*(1-E10)-E8)</f>
        <v>54135.681600000062</v>
      </c>
      <c r="G11" s="83">
        <f t="shared" si="0"/>
        <v>125925.11500800012</v>
      </c>
      <c r="H11" s="83">
        <f t="shared" si="0"/>
        <v>156117.98400000017</v>
      </c>
      <c r="I11" s="83">
        <f>(I5*(1-I6)*(1-I7)*(1-I9)*(1-I10)-I8)-(H5*(1-H6)*(1-H7)*(1-H9)*(1-H10)-H8)</f>
        <v>213866.99136000022</v>
      </c>
      <c r="J11" s="83">
        <f>(J5*(1-J6)*(1-J7)*(1-J9)*(1-J10)-J8)-(I5*(1-I6)*(1-I7)*(1-I9)*(1-I10)-I8)</f>
        <v>199763.20320000011</v>
      </c>
      <c r="K11" s="83">
        <f t="shared" si="0"/>
        <v>258373.35744000005</v>
      </c>
      <c r="L11" s="83">
        <f t="shared" si="0"/>
        <v>293713.68576000072</v>
      </c>
      <c r="M11" s="83">
        <f t="shared" si="0"/>
        <v>185806.68479999993</v>
      </c>
      <c r="N11" s="83">
        <f t="shared" si="0"/>
        <v>184863.67680000025</v>
      </c>
      <c r="O11" s="83">
        <f t="shared" si="0"/>
        <v>225413.02080000029</v>
      </c>
      <c r="P11" s="83">
        <f t="shared" si="0"/>
        <v>189390.11520000035</v>
      </c>
      <c r="Q11" s="83">
        <f t="shared" si="0"/>
        <v>189767.31840000022</v>
      </c>
      <c r="R11" s="83">
        <f t="shared" si="0"/>
        <v>189390.11519999988</v>
      </c>
      <c r="S11" s="83">
        <f t="shared" si="0"/>
        <v>189767.31840000069</v>
      </c>
      <c r="T11" s="83">
        <f t="shared" si="0"/>
        <v>189390.11520000035</v>
      </c>
      <c r="U11" s="83">
        <f t="shared" si="0"/>
        <v>115616.3923200001</v>
      </c>
      <c r="V11" s="83">
        <f t="shared" si="0"/>
        <v>78163.726079999935</v>
      </c>
      <c r="W11" s="83">
        <f t="shared" si="0"/>
        <v>78540.929279999807</v>
      </c>
      <c r="X11" s="83">
        <f t="shared" si="0"/>
        <v>78540.929280000273</v>
      </c>
    </row>
    <row r="12" spans="1:24" x14ac:dyDescent="0.45"/>
    <row r="13" spans="1:24" x14ac:dyDescent="0.45">
      <c r="D13" s="137" t="s">
        <v>358</v>
      </c>
      <c r="E13" s="134">
        <v>0.8</v>
      </c>
      <c r="F13" s="134">
        <v>0.8</v>
      </c>
      <c r="G13" s="134">
        <v>0.8</v>
      </c>
      <c r="H13" s="134">
        <v>0.8</v>
      </c>
      <c r="I13" s="134">
        <v>0.8</v>
      </c>
      <c r="J13" s="134">
        <v>0.8</v>
      </c>
      <c r="K13" s="134">
        <v>0.8</v>
      </c>
      <c r="L13" s="134">
        <v>0.8</v>
      </c>
      <c r="M13" s="134">
        <v>0.8</v>
      </c>
      <c r="N13" s="134">
        <v>0.8</v>
      </c>
      <c r="O13" s="134">
        <v>0.8</v>
      </c>
      <c r="P13" s="134">
        <v>0.8</v>
      </c>
      <c r="Q13" s="134">
        <v>0.8</v>
      </c>
      <c r="R13" s="134">
        <v>0.8</v>
      </c>
      <c r="S13" s="134">
        <v>0.8</v>
      </c>
      <c r="T13" s="134">
        <v>0.8</v>
      </c>
      <c r="U13" s="134">
        <v>0.8</v>
      </c>
      <c r="V13" s="134">
        <v>0.8</v>
      </c>
      <c r="W13" s="134">
        <v>0.8</v>
      </c>
      <c r="X13" s="134">
        <v>0.8</v>
      </c>
    </row>
    <row r="14" spans="1:24" x14ac:dyDescent="0.45">
      <c r="D14" s="137" t="s">
        <v>358</v>
      </c>
      <c r="E14" s="134">
        <v>0.9</v>
      </c>
      <c r="F14" s="134">
        <v>0.9</v>
      </c>
      <c r="G14" s="134">
        <v>0.9</v>
      </c>
      <c r="H14" s="134">
        <v>0.9</v>
      </c>
      <c r="I14" s="134">
        <v>0.9</v>
      </c>
      <c r="J14" s="134">
        <v>0.9</v>
      </c>
      <c r="K14" s="134">
        <v>0.9</v>
      </c>
      <c r="L14" s="134">
        <v>0.9</v>
      </c>
      <c r="M14" s="134">
        <v>0.9</v>
      </c>
      <c r="N14" s="134">
        <v>0.9</v>
      </c>
      <c r="O14" s="134">
        <v>0.9</v>
      </c>
      <c r="P14" s="134">
        <v>0.9</v>
      </c>
      <c r="Q14" s="134">
        <v>0.9</v>
      </c>
      <c r="R14" s="134">
        <v>0.9</v>
      </c>
      <c r="S14" s="134">
        <v>0.9</v>
      </c>
      <c r="T14" s="134">
        <v>0.9</v>
      </c>
      <c r="U14" s="134">
        <v>0.9</v>
      </c>
      <c r="V14" s="134">
        <v>0.9</v>
      </c>
      <c r="W14" s="134">
        <v>0.9</v>
      </c>
      <c r="X14" s="134">
        <v>0.9</v>
      </c>
    </row>
    <row r="15" spans="1:24" x14ac:dyDescent="0.45">
      <c r="D15" s="137" t="s">
        <v>358</v>
      </c>
      <c r="E15" s="134">
        <v>0.95</v>
      </c>
      <c r="F15" s="134">
        <v>0.95</v>
      </c>
      <c r="G15" s="134">
        <v>0.95</v>
      </c>
      <c r="H15" s="134">
        <v>0.95</v>
      </c>
      <c r="I15" s="134">
        <v>0.95</v>
      </c>
      <c r="J15" s="134">
        <v>0.95</v>
      </c>
      <c r="K15" s="134">
        <v>0.95</v>
      </c>
      <c r="L15" s="134">
        <v>0.95</v>
      </c>
      <c r="M15" s="134">
        <v>0.95</v>
      </c>
      <c r="N15" s="134">
        <v>0.95</v>
      </c>
      <c r="O15" s="134">
        <v>0.95</v>
      </c>
      <c r="P15" s="134">
        <v>0.95</v>
      </c>
      <c r="Q15" s="134">
        <v>0.95</v>
      </c>
      <c r="R15" s="134">
        <v>0.95</v>
      </c>
      <c r="S15" s="134">
        <v>0.95</v>
      </c>
      <c r="T15" s="134">
        <v>0.95</v>
      </c>
      <c r="U15" s="134">
        <v>0.95</v>
      </c>
      <c r="V15" s="134">
        <v>0.95</v>
      </c>
      <c r="W15" s="134">
        <v>0.95</v>
      </c>
      <c r="X15" s="134">
        <v>0.95</v>
      </c>
    </row>
    <row r="16" spans="1:24" x14ac:dyDescent="0.45">
      <c r="A16" s="18" t="s">
        <v>90</v>
      </c>
      <c r="D16" s="137" t="s">
        <v>358</v>
      </c>
      <c r="E16" s="134">
        <v>0.8</v>
      </c>
      <c r="F16" s="134">
        <v>0.8</v>
      </c>
      <c r="G16" s="134">
        <v>0.8</v>
      </c>
      <c r="H16" s="134">
        <v>0.8</v>
      </c>
      <c r="I16" s="134">
        <v>0.8</v>
      </c>
      <c r="J16" s="134">
        <v>0.8</v>
      </c>
      <c r="K16" s="134">
        <v>0.8</v>
      </c>
      <c r="L16" s="134">
        <v>0.8</v>
      </c>
      <c r="M16" s="134">
        <v>0.8</v>
      </c>
      <c r="N16" s="134">
        <v>0.8</v>
      </c>
      <c r="O16" s="134">
        <v>0.8</v>
      </c>
      <c r="P16" s="134">
        <v>0.8</v>
      </c>
      <c r="Q16" s="134">
        <v>0.8</v>
      </c>
      <c r="R16" s="134">
        <v>0.8</v>
      </c>
      <c r="S16" s="134">
        <v>0.8</v>
      </c>
      <c r="T16" s="134">
        <v>0.8</v>
      </c>
      <c r="U16" s="134">
        <v>0.8</v>
      </c>
      <c r="V16" s="134">
        <v>0.8</v>
      </c>
      <c r="W16" s="134">
        <v>0.8</v>
      </c>
      <c r="X16" s="134">
        <v>0.8</v>
      </c>
    </row>
    <row r="17" spans="1:24" ht="101.25" customHeight="1" x14ac:dyDescent="0.45">
      <c r="A17" s="246" t="s">
        <v>380</v>
      </c>
      <c r="B17" s="245"/>
      <c r="C17" s="245"/>
      <c r="D17" s="245"/>
      <c r="E17" s="245"/>
      <c r="F17" s="245"/>
      <c r="G17" s="245"/>
      <c r="H17" s="245"/>
      <c r="I17" s="245"/>
    </row>
    <row r="18" spans="1:24" x14ac:dyDescent="0.45">
      <c r="D18" s="137" t="s">
        <v>358</v>
      </c>
      <c r="E18">
        <f t="shared" ref="E18:H18" si="1">+E13*E14*E15*E16</f>
        <v>0.54720000000000002</v>
      </c>
      <c r="F18">
        <f t="shared" si="1"/>
        <v>0.54720000000000002</v>
      </c>
      <c r="G18">
        <f t="shared" si="1"/>
        <v>0.54720000000000002</v>
      </c>
      <c r="H18">
        <f t="shared" si="1"/>
        <v>0.54720000000000002</v>
      </c>
      <c r="I18">
        <f>+I13*I14*I15*I16</f>
        <v>0.54720000000000002</v>
      </c>
      <c r="J18">
        <f t="shared" ref="J18:L18" si="2">+J13*J14*J15*J16</f>
        <v>0.54720000000000002</v>
      </c>
      <c r="K18">
        <f t="shared" si="2"/>
        <v>0.54720000000000002</v>
      </c>
      <c r="L18">
        <f t="shared" si="2"/>
        <v>0.54720000000000002</v>
      </c>
      <c r="M18">
        <f t="shared" ref="M18:X18" si="3">+M13*M14*M15*M16</f>
        <v>0.54720000000000002</v>
      </c>
      <c r="N18">
        <f t="shared" si="3"/>
        <v>0.54720000000000002</v>
      </c>
      <c r="O18">
        <f t="shared" si="3"/>
        <v>0.54720000000000002</v>
      </c>
      <c r="P18">
        <f t="shared" si="3"/>
        <v>0.54720000000000002</v>
      </c>
      <c r="Q18">
        <f t="shared" si="3"/>
        <v>0.54720000000000002</v>
      </c>
      <c r="R18">
        <f t="shared" si="3"/>
        <v>0.54720000000000002</v>
      </c>
      <c r="S18">
        <f t="shared" si="3"/>
        <v>0.54720000000000002</v>
      </c>
      <c r="T18">
        <f t="shared" si="3"/>
        <v>0.54720000000000002</v>
      </c>
      <c r="U18">
        <f t="shared" si="3"/>
        <v>0.54720000000000002</v>
      </c>
      <c r="V18">
        <f t="shared" si="3"/>
        <v>0.54720000000000002</v>
      </c>
      <c r="W18">
        <f t="shared" si="3"/>
        <v>0.54720000000000002</v>
      </c>
      <c r="X18">
        <f t="shared" si="3"/>
        <v>0.54720000000000002</v>
      </c>
    </row>
    <row r="19" spans="1:24" x14ac:dyDescent="0.45">
      <c r="D19" s="137" t="s">
        <v>358</v>
      </c>
      <c r="E19" s="120">
        <f t="shared" ref="E19:H19" si="4">+E18*E5</f>
        <v>15022.679232000013</v>
      </c>
      <c r="F19" s="120">
        <f t="shared" si="4"/>
        <v>69158.360832000079</v>
      </c>
      <c r="G19" s="120">
        <f t="shared" si="4"/>
        <v>195083.4758400002</v>
      </c>
      <c r="H19" s="120">
        <f t="shared" si="4"/>
        <v>351201.45984000032</v>
      </c>
      <c r="I19" s="120">
        <f>+I18*I5</f>
        <v>565068.45120000059</v>
      </c>
      <c r="J19" s="120">
        <f t="shared" ref="J19:L19" si="5">+J18*J5</f>
        <v>764831.6544000007</v>
      </c>
      <c r="K19" s="120">
        <f t="shared" si="5"/>
        <v>1023205.0118400007</v>
      </c>
      <c r="L19" s="120">
        <f t="shared" si="5"/>
        <v>1316918.6976000012</v>
      </c>
      <c r="M19" s="120">
        <f t="shared" ref="M19" si="6">+M18*M5</f>
        <v>1502725.3824000014</v>
      </c>
      <c r="N19" s="120">
        <f t="shared" ref="N19" si="7">+N18*N5</f>
        <v>1687589.0592000016</v>
      </c>
      <c r="O19" s="120">
        <f t="shared" ref="O19" si="8">+O18*O5</f>
        <v>1913002.0800000019</v>
      </c>
      <c r="P19" s="120">
        <f t="shared" ref="P19" si="9">+P18*P5</f>
        <v>2102392.1952000023</v>
      </c>
      <c r="Q19" s="120">
        <f t="shared" ref="Q19" si="10">+Q18*Q5</f>
        <v>2292159.513600002</v>
      </c>
      <c r="R19" s="120">
        <f t="shared" ref="R19" si="11">+R18*R5</f>
        <v>2481549.6288000024</v>
      </c>
      <c r="S19" s="120">
        <f t="shared" ref="S19" si="12">+S18*S5</f>
        <v>2671316.9472000026</v>
      </c>
      <c r="T19" s="120">
        <f t="shared" ref="T19" si="13">+T18*T5</f>
        <v>2860707.062400003</v>
      </c>
      <c r="U19" s="120">
        <f t="shared" ref="U19" si="14">+U18*U5</f>
        <v>2976323.4547200031</v>
      </c>
      <c r="V19" s="120">
        <f t="shared" ref="V19" si="15">+V18*V5</f>
        <v>3054487.180800003</v>
      </c>
      <c r="W19" s="120">
        <f t="shared" ref="W19" si="16">+W18*W5</f>
        <v>3133028.1100800028</v>
      </c>
      <c r="X19" s="120">
        <f t="shared" ref="X19" si="17">+X18*X5</f>
        <v>3211569.0393600026</v>
      </c>
    </row>
    <row r="20" spans="1:24" x14ac:dyDescent="0.45">
      <c r="D20" s="137" t="s">
        <v>358</v>
      </c>
      <c r="F20" s="136">
        <f>+F19-E19</f>
        <v>54135.681600000069</v>
      </c>
      <c r="G20" s="136">
        <f>+G19-F19</f>
        <v>125925.11500800012</v>
      </c>
      <c r="H20" s="136">
        <f t="shared" ref="H20:L20" si="18">+H19-G19</f>
        <v>156117.98400000011</v>
      </c>
      <c r="I20" s="136">
        <f t="shared" si="18"/>
        <v>213866.99136000028</v>
      </c>
      <c r="J20" s="136">
        <f t="shared" si="18"/>
        <v>199763.20320000011</v>
      </c>
      <c r="K20" s="136">
        <f t="shared" si="18"/>
        <v>258373.35744000005</v>
      </c>
      <c r="L20" s="136">
        <f t="shared" si="18"/>
        <v>293713.68576000049</v>
      </c>
      <c r="M20" s="136">
        <f t="shared" ref="M20" si="19">+M19-L19</f>
        <v>185806.68480000016</v>
      </c>
      <c r="N20" s="136">
        <f t="shared" ref="N20" si="20">+N19-M19</f>
        <v>184863.67680000025</v>
      </c>
      <c r="O20" s="136">
        <f t="shared" ref="O20" si="21">+O19-N19</f>
        <v>225413.02080000029</v>
      </c>
      <c r="P20" s="136">
        <f t="shared" ref="P20" si="22">+P19-O19</f>
        <v>189390.11520000035</v>
      </c>
      <c r="Q20" s="136">
        <f t="shared" ref="Q20" si="23">+Q19-P19</f>
        <v>189767.31839999976</v>
      </c>
      <c r="R20" s="136">
        <f t="shared" ref="R20" si="24">+R19-Q19</f>
        <v>189390.11520000035</v>
      </c>
      <c r="S20" s="136">
        <f t="shared" ref="S20" si="25">+S19-R19</f>
        <v>189767.31840000022</v>
      </c>
      <c r="T20" s="136">
        <f t="shared" ref="T20" si="26">+T19-S19</f>
        <v>189390.11520000035</v>
      </c>
      <c r="U20" s="136">
        <f t="shared" ref="U20" si="27">+U19-T19</f>
        <v>115616.3923200001</v>
      </c>
      <c r="V20" s="136">
        <f t="shared" ref="V20" si="28">+V19-U19</f>
        <v>78163.726079999935</v>
      </c>
      <c r="W20" s="136">
        <f t="shared" ref="W20" si="29">+W19-V19</f>
        <v>78540.929279999807</v>
      </c>
      <c r="X20" s="136">
        <f t="shared" ref="X20" si="30">+X19-W19</f>
        <v>78540.929279999807</v>
      </c>
    </row>
  </sheetData>
  <mergeCells count="2">
    <mergeCell ref="A1:X1"/>
    <mergeCell ref="A17:I17"/>
  </mergeCells>
  <pageMargins left="0.75" right="0.75" top="1" bottom="1" header="0.5" footer="0.5"/>
  <legacy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X17"/>
  <sheetViews>
    <sheetView workbookViewId="0"/>
  </sheetViews>
  <sheetFormatPr defaultRowHeight="14.25" x14ac:dyDescent="0.45"/>
  <cols>
    <col min="1" max="1" width="15" customWidth="1"/>
    <col min="2" max="2" width="12" customWidth="1"/>
    <col min="3" max="3" width="35" customWidth="1"/>
    <col min="4" max="4" width="20" customWidth="1"/>
    <col min="5" max="24" width="10" customWidth="1"/>
  </cols>
  <sheetData>
    <row r="1" spans="1:24" ht="15.75" x14ac:dyDescent="0.55000000000000004">
      <c r="A1" s="233" t="s">
        <v>381</v>
      </c>
      <c r="B1" s="234"/>
      <c r="C1" s="234"/>
      <c r="D1" s="234"/>
      <c r="E1" s="234"/>
      <c r="F1" s="234"/>
      <c r="G1" s="234"/>
      <c r="H1" s="234"/>
      <c r="I1" s="234"/>
      <c r="J1" s="234"/>
      <c r="K1" s="234"/>
      <c r="L1" s="234"/>
      <c r="M1" s="234"/>
      <c r="N1" s="234"/>
      <c r="O1" s="234"/>
      <c r="P1" s="234"/>
      <c r="Q1" s="234"/>
      <c r="R1" s="234"/>
      <c r="S1" s="234"/>
      <c r="T1" s="234"/>
      <c r="U1" s="234"/>
      <c r="V1" s="234"/>
      <c r="W1" s="234"/>
      <c r="X1" s="235"/>
    </row>
    <row r="4" spans="1:24" x14ac:dyDescent="0.45">
      <c r="A4" s="1" t="s">
        <v>87</v>
      </c>
      <c r="B4" s="1" t="s">
        <v>88</v>
      </c>
      <c r="C4" s="1" t="s">
        <v>170</v>
      </c>
      <c r="D4" s="1" t="s">
        <v>90</v>
      </c>
      <c r="E4" s="64" t="s">
        <v>91</v>
      </c>
      <c r="F4" s="64" t="s">
        <v>92</v>
      </c>
      <c r="G4" s="64" t="s">
        <v>93</v>
      </c>
      <c r="H4" s="64" t="s">
        <v>94</v>
      </c>
      <c r="I4" s="64" t="s">
        <v>95</v>
      </c>
      <c r="J4" s="64" t="s">
        <v>96</v>
      </c>
      <c r="K4" s="64" t="s">
        <v>97</v>
      </c>
      <c r="L4" s="64" t="s">
        <v>98</v>
      </c>
      <c r="M4" s="64" t="s">
        <v>99</v>
      </c>
      <c r="N4" s="64" t="s">
        <v>100</v>
      </c>
      <c r="O4" s="64" t="s">
        <v>101</v>
      </c>
      <c r="P4" s="64" t="s">
        <v>102</v>
      </c>
      <c r="Q4" s="64" t="s">
        <v>103</v>
      </c>
      <c r="R4" s="64" t="s">
        <v>104</v>
      </c>
      <c r="S4" s="64" t="s">
        <v>105</v>
      </c>
      <c r="T4" s="64" t="s">
        <v>106</v>
      </c>
      <c r="U4" s="64" t="s">
        <v>107</v>
      </c>
      <c r="V4" s="64" t="s">
        <v>108</v>
      </c>
      <c r="W4" s="64" t="s">
        <v>109</v>
      </c>
      <c r="X4" s="64" t="s">
        <v>110</v>
      </c>
    </row>
    <row r="5" spans="1:24" ht="15.75" x14ac:dyDescent="0.55000000000000004">
      <c r="A5" t="s">
        <v>378</v>
      </c>
      <c r="B5" t="s">
        <v>382</v>
      </c>
      <c r="C5" t="s">
        <v>383</v>
      </c>
      <c r="D5" t="s">
        <v>384</v>
      </c>
      <c r="E5" s="108">
        <f>Eq30_Carbon_removals!E11</f>
        <v>15022.679232000017</v>
      </c>
      <c r="F5" s="108">
        <f>Eq30_Carbon_removals!F11</f>
        <v>54135.681600000062</v>
      </c>
      <c r="G5" s="108">
        <f>Eq30_Carbon_removals!G11</f>
        <v>125925.11500800012</v>
      </c>
      <c r="H5" s="108">
        <f>Eq30_Carbon_removals!H11</f>
        <v>156117.98400000017</v>
      </c>
      <c r="I5" s="108">
        <f>Eq30_Carbon_removals!I11</f>
        <v>213866.99136000022</v>
      </c>
      <c r="J5" s="108">
        <f>Eq30_Carbon_removals!J11</f>
        <v>199763.20320000011</v>
      </c>
      <c r="K5" s="108">
        <f>Eq30_Carbon_removals!K11</f>
        <v>258373.35744000005</v>
      </c>
      <c r="L5" s="108">
        <f>Eq30_Carbon_removals!L11</f>
        <v>293713.68576000072</v>
      </c>
      <c r="M5" s="108">
        <f>Eq30_Carbon_removals!M11</f>
        <v>185806.68479999993</v>
      </c>
      <c r="N5" s="108">
        <f>Eq30_Carbon_removals!N11</f>
        <v>184863.67680000025</v>
      </c>
      <c r="O5" s="108">
        <f>Eq30_Carbon_removals!O11</f>
        <v>225413.02080000029</v>
      </c>
      <c r="P5" s="108">
        <f>Eq30_Carbon_removals!P11</f>
        <v>189390.11520000035</v>
      </c>
      <c r="Q5" s="108">
        <f>Eq30_Carbon_removals!Q11</f>
        <v>189767.31840000022</v>
      </c>
      <c r="R5" s="108">
        <f>Eq30_Carbon_removals!R11</f>
        <v>189390.11519999988</v>
      </c>
      <c r="S5" s="108">
        <f>Eq30_Carbon_removals!S11</f>
        <v>189767.31840000069</v>
      </c>
      <c r="T5" s="108">
        <f>Eq30_Carbon_removals!T11</f>
        <v>189390.11520000035</v>
      </c>
      <c r="U5" s="108">
        <f>Eq30_Carbon_removals!U11</f>
        <v>115616.3923200001</v>
      </c>
      <c r="V5" s="108">
        <f>Eq30_Carbon_removals!V11</f>
        <v>78163.726079999935</v>
      </c>
      <c r="W5" s="108">
        <f>Eq30_Carbon_removals!W11</f>
        <v>78540.929279999807</v>
      </c>
      <c r="X5" s="108">
        <f>Eq30_Carbon_removals!X11</f>
        <v>78540.929280000273</v>
      </c>
    </row>
    <row r="6" spans="1:24" x14ac:dyDescent="0.45">
      <c r="A6" t="s">
        <v>385</v>
      </c>
      <c r="B6" t="s">
        <v>70</v>
      </c>
      <c r="C6" t="s">
        <v>386</v>
      </c>
      <c r="D6" t="s">
        <v>387</v>
      </c>
      <c r="E6" s="100">
        <v>1</v>
      </c>
      <c r="F6" s="100">
        <v>1</v>
      </c>
      <c r="G6" s="100">
        <v>1</v>
      </c>
      <c r="H6" s="100">
        <v>1</v>
      </c>
      <c r="I6" s="100">
        <v>1</v>
      </c>
      <c r="J6" s="100">
        <v>1</v>
      </c>
      <c r="K6" s="100">
        <v>1</v>
      </c>
      <c r="L6" s="100">
        <v>1</v>
      </c>
      <c r="M6" s="100">
        <v>1</v>
      </c>
      <c r="N6" s="100">
        <v>1</v>
      </c>
      <c r="O6" s="100">
        <v>1</v>
      </c>
      <c r="P6" s="100">
        <v>1</v>
      </c>
      <c r="Q6" s="100">
        <v>1</v>
      </c>
      <c r="R6" s="100">
        <v>1</v>
      </c>
      <c r="S6" s="100">
        <v>1</v>
      </c>
      <c r="T6" s="100">
        <v>1</v>
      </c>
      <c r="U6" s="100">
        <v>1</v>
      </c>
      <c r="V6" s="100">
        <v>1</v>
      </c>
      <c r="W6" s="100">
        <v>1</v>
      </c>
      <c r="X6" s="100">
        <v>1</v>
      </c>
    </row>
    <row r="7" spans="1:24" x14ac:dyDescent="0.45">
      <c r="E7" s="3"/>
      <c r="F7" s="3"/>
      <c r="G7" s="3"/>
      <c r="H7" s="3"/>
      <c r="I7" s="3"/>
      <c r="J7" s="3"/>
      <c r="K7" s="3"/>
      <c r="L7" s="3"/>
      <c r="M7" s="3"/>
      <c r="N7" s="3"/>
      <c r="O7" s="3"/>
      <c r="P7" s="3"/>
      <c r="Q7" s="3"/>
      <c r="R7" s="3"/>
      <c r="S7" s="3"/>
      <c r="T7" s="3"/>
      <c r="U7" s="3"/>
      <c r="V7" s="3"/>
      <c r="W7" s="3"/>
      <c r="X7" s="3"/>
    </row>
    <row r="8" spans="1:24" s="7" customFormat="1" ht="15.75" x14ac:dyDescent="0.55000000000000004">
      <c r="A8" s="45" t="s">
        <v>209</v>
      </c>
      <c r="B8" s="45" t="s">
        <v>388</v>
      </c>
      <c r="C8" s="45" t="s">
        <v>389</v>
      </c>
      <c r="D8" s="46"/>
      <c r="E8" s="83">
        <f t="shared" ref="E8:X8" si="0">E5/E6</f>
        <v>15022.679232000017</v>
      </c>
      <c r="F8" s="83">
        <f t="shared" si="0"/>
        <v>54135.681600000062</v>
      </c>
      <c r="G8" s="83">
        <f t="shared" si="0"/>
        <v>125925.11500800012</v>
      </c>
      <c r="H8" s="83">
        <f t="shared" si="0"/>
        <v>156117.98400000017</v>
      </c>
      <c r="I8" s="83">
        <f t="shared" si="0"/>
        <v>213866.99136000022</v>
      </c>
      <c r="J8" s="83">
        <f t="shared" si="0"/>
        <v>199763.20320000011</v>
      </c>
      <c r="K8" s="83">
        <f t="shared" si="0"/>
        <v>258373.35744000005</v>
      </c>
      <c r="L8" s="83">
        <f t="shared" si="0"/>
        <v>293713.68576000072</v>
      </c>
      <c r="M8" s="83">
        <f t="shared" si="0"/>
        <v>185806.68479999993</v>
      </c>
      <c r="N8" s="83">
        <f t="shared" si="0"/>
        <v>184863.67680000025</v>
      </c>
      <c r="O8" s="83">
        <f t="shared" si="0"/>
        <v>225413.02080000029</v>
      </c>
      <c r="P8" s="83">
        <f t="shared" si="0"/>
        <v>189390.11520000035</v>
      </c>
      <c r="Q8" s="83">
        <f t="shared" si="0"/>
        <v>189767.31840000022</v>
      </c>
      <c r="R8" s="83">
        <f t="shared" si="0"/>
        <v>189390.11519999988</v>
      </c>
      <c r="S8" s="83">
        <f t="shared" si="0"/>
        <v>189767.31840000069</v>
      </c>
      <c r="T8" s="83">
        <f t="shared" si="0"/>
        <v>189390.11520000035</v>
      </c>
      <c r="U8" s="83">
        <f t="shared" si="0"/>
        <v>115616.3923200001</v>
      </c>
      <c r="V8" s="83">
        <f t="shared" si="0"/>
        <v>78163.726079999935</v>
      </c>
      <c r="W8" s="83">
        <f t="shared" si="0"/>
        <v>78540.929279999807</v>
      </c>
      <c r="X8" s="83">
        <f t="shared" si="0"/>
        <v>78540.929280000273</v>
      </c>
    </row>
    <row r="16" spans="1:24" x14ac:dyDescent="0.45">
      <c r="A16" s="18" t="s">
        <v>90</v>
      </c>
    </row>
    <row r="17" spans="1:9" x14ac:dyDescent="0.45">
      <c r="A17" s="245"/>
      <c r="B17" s="245"/>
      <c r="C17" s="245"/>
      <c r="D17" s="245"/>
      <c r="E17" s="245"/>
      <c r="F17" s="245"/>
      <c r="G17" s="245"/>
      <c r="H17" s="245"/>
      <c r="I17" s="245"/>
    </row>
  </sheetData>
  <mergeCells count="2">
    <mergeCell ref="A1:X1"/>
    <mergeCell ref="A17:I17"/>
  </mergeCells>
  <pageMargins left="0.75" right="0.75" top="1" bottom="1"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3B5FD1-1543-42E3-94E3-15266D215608}">
  <dimension ref="A1:X108"/>
  <sheetViews>
    <sheetView workbookViewId="0">
      <selection sqref="A1:X1"/>
    </sheetView>
  </sheetViews>
  <sheetFormatPr defaultRowHeight="14.25" x14ac:dyDescent="0.45"/>
  <cols>
    <col min="1" max="1" width="27.86328125" customWidth="1"/>
    <col min="2" max="2" width="15" customWidth="1"/>
    <col min="3" max="3" width="16.46484375" customWidth="1"/>
    <col min="4" max="4" width="18.53125" customWidth="1"/>
    <col min="5" max="5" width="15" customWidth="1"/>
    <col min="6" max="6" width="5" customWidth="1"/>
    <col min="7" max="7" width="12" customWidth="1"/>
    <col min="8" max="11" width="15" customWidth="1"/>
  </cols>
  <sheetData>
    <row r="1" spans="1:24" x14ac:dyDescent="0.45">
      <c r="A1" s="233" t="s">
        <v>390</v>
      </c>
      <c r="B1" s="234"/>
      <c r="C1" s="234"/>
      <c r="D1" s="234"/>
      <c r="E1" s="234"/>
      <c r="F1" s="234"/>
      <c r="G1" s="234"/>
      <c r="H1" s="234"/>
      <c r="I1" s="234"/>
      <c r="J1" s="234"/>
      <c r="K1" s="234"/>
      <c r="L1" s="234"/>
      <c r="M1" s="234"/>
      <c r="N1" s="234"/>
      <c r="O1" s="234"/>
      <c r="P1" s="234"/>
      <c r="Q1" s="234"/>
      <c r="R1" s="234"/>
      <c r="S1" s="234"/>
      <c r="T1" s="234"/>
      <c r="U1" s="234"/>
      <c r="V1" s="234"/>
      <c r="W1" s="234"/>
      <c r="X1" s="235"/>
    </row>
    <row r="2" spans="1:24" x14ac:dyDescent="0.45">
      <c r="A2" s="36" t="s">
        <v>391</v>
      </c>
    </row>
    <row r="4" spans="1:24" ht="18" x14ac:dyDescent="0.45">
      <c r="A4" s="24" t="s">
        <v>392</v>
      </c>
      <c r="G4" s="35"/>
    </row>
    <row r="5" spans="1:24" x14ac:dyDescent="0.45">
      <c r="A5" s="23" t="s">
        <v>393</v>
      </c>
    </row>
    <row r="6" spans="1:24" x14ac:dyDescent="0.45">
      <c r="A6" s="23" t="s">
        <v>394</v>
      </c>
    </row>
    <row r="7" spans="1:24" x14ac:dyDescent="0.45">
      <c r="A7" s="23" t="s">
        <v>395</v>
      </c>
    </row>
    <row r="8" spans="1:24" x14ac:dyDescent="0.45">
      <c r="A8" s="23" t="s">
        <v>396</v>
      </c>
    </row>
    <row r="9" spans="1:24" x14ac:dyDescent="0.45">
      <c r="A9" s="23" t="s">
        <v>397</v>
      </c>
    </row>
    <row r="11" spans="1:24" x14ac:dyDescent="0.45">
      <c r="A11" s="76" t="s">
        <v>398</v>
      </c>
      <c r="G11" s="21" t="s">
        <v>399</v>
      </c>
      <c r="N11" s="67" t="s">
        <v>90</v>
      </c>
      <c r="O11" s="21"/>
      <c r="P11" s="21"/>
      <c r="Q11" s="21"/>
      <c r="R11" s="21"/>
      <c r="S11" s="21"/>
    </row>
    <row r="12" spans="1:24" x14ac:dyDescent="0.45">
      <c r="A12" s="182" t="s">
        <v>400</v>
      </c>
      <c r="B12" s="28"/>
      <c r="C12" s="29"/>
      <c r="D12" s="28"/>
      <c r="G12" s="182" t="s">
        <v>401</v>
      </c>
      <c r="H12" s="28"/>
      <c r="I12" s="28"/>
      <c r="J12" s="29"/>
      <c r="N12" s="249" t="s">
        <v>402</v>
      </c>
      <c r="O12" s="249"/>
      <c r="P12" s="249"/>
      <c r="Q12" s="249"/>
      <c r="R12" s="249"/>
      <c r="S12" s="249"/>
    </row>
    <row r="13" spans="1:24" x14ac:dyDescent="0.45">
      <c r="A13" s="183" t="s">
        <v>403</v>
      </c>
      <c r="B13" s="183" t="s">
        <v>404</v>
      </c>
      <c r="C13" s="183" t="s">
        <v>405</v>
      </c>
      <c r="D13" s="183" t="s">
        <v>406</v>
      </c>
      <c r="G13" s="183" t="s">
        <v>403</v>
      </c>
      <c r="H13" s="183" t="s">
        <v>407</v>
      </c>
      <c r="I13" s="183" t="s">
        <v>408</v>
      </c>
      <c r="J13" s="183" t="s">
        <v>409</v>
      </c>
      <c r="N13" s="249"/>
      <c r="O13" s="249"/>
      <c r="P13" s="249"/>
      <c r="Q13" s="249"/>
      <c r="R13" s="249"/>
      <c r="S13" s="249"/>
    </row>
    <row r="14" spans="1:24" x14ac:dyDescent="0.45">
      <c r="A14" s="40">
        <v>0</v>
      </c>
      <c r="B14" s="72">
        <v>0.1</v>
      </c>
      <c r="C14" s="73">
        <v>0</v>
      </c>
      <c r="D14" s="73">
        <v>0</v>
      </c>
      <c r="G14" s="40">
        <v>0</v>
      </c>
      <c r="H14" s="72">
        <v>0.1</v>
      </c>
      <c r="I14" s="73">
        <v>0</v>
      </c>
      <c r="J14" s="73">
        <v>0</v>
      </c>
      <c r="N14" s="249"/>
      <c r="O14" s="249"/>
      <c r="P14" s="249"/>
      <c r="Q14" s="249"/>
      <c r="R14" s="249"/>
      <c r="S14" s="249"/>
    </row>
    <row r="15" spans="1:24" x14ac:dyDescent="0.45">
      <c r="A15" s="40">
        <v>1</v>
      </c>
      <c r="B15" s="72">
        <v>0.11</v>
      </c>
      <c r="C15" s="73">
        <f t="shared" ref="C15:C34" si="0">B14</f>
        <v>0.1</v>
      </c>
      <c r="D15" s="73">
        <f t="shared" ref="D15:D34" si="1">B15-C15</f>
        <v>9.999999999999995E-3</v>
      </c>
      <c r="G15" s="40">
        <v>1</v>
      </c>
      <c r="H15" s="72">
        <v>0.18</v>
      </c>
      <c r="I15" s="73">
        <f t="shared" ref="I15:I34" si="2">H14</f>
        <v>0.1</v>
      </c>
      <c r="J15" s="73">
        <f t="shared" ref="J15:J34" si="3">H15-I15</f>
        <v>7.9999999999999988E-2</v>
      </c>
      <c r="N15" s="249"/>
      <c r="O15" s="249"/>
      <c r="P15" s="249"/>
      <c r="Q15" s="249"/>
      <c r="R15" s="249"/>
      <c r="S15" s="249"/>
    </row>
    <row r="16" spans="1:24" x14ac:dyDescent="0.45">
      <c r="A16" s="40">
        <v>2</v>
      </c>
      <c r="B16" s="72">
        <v>0.12</v>
      </c>
      <c r="C16" s="73">
        <f t="shared" si="0"/>
        <v>0.11</v>
      </c>
      <c r="D16" s="73">
        <f t="shared" si="1"/>
        <v>9.999999999999995E-3</v>
      </c>
      <c r="G16" s="40">
        <v>2</v>
      </c>
      <c r="H16" s="72">
        <v>0.28000000000000003</v>
      </c>
      <c r="I16" s="73">
        <f t="shared" si="2"/>
        <v>0.18</v>
      </c>
      <c r="J16" s="73">
        <f t="shared" si="3"/>
        <v>0.10000000000000003</v>
      </c>
      <c r="N16" s="249"/>
      <c r="O16" s="249"/>
      <c r="P16" s="249"/>
      <c r="Q16" s="249"/>
      <c r="R16" s="249"/>
      <c r="S16" s="249"/>
    </row>
    <row r="17" spans="1:19" x14ac:dyDescent="0.45">
      <c r="A17" s="40">
        <v>3</v>
      </c>
      <c r="B17" s="72">
        <v>0.13</v>
      </c>
      <c r="C17" s="73">
        <f t="shared" si="0"/>
        <v>0.12</v>
      </c>
      <c r="D17" s="73">
        <f t="shared" si="1"/>
        <v>1.0000000000000009E-2</v>
      </c>
      <c r="G17" s="40">
        <v>3</v>
      </c>
      <c r="H17" s="72">
        <v>0.4</v>
      </c>
      <c r="I17" s="73">
        <f t="shared" si="2"/>
        <v>0.28000000000000003</v>
      </c>
      <c r="J17" s="73">
        <f t="shared" si="3"/>
        <v>0.12</v>
      </c>
      <c r="N17" s="249"/>
      <c r="O17" s="249"/>
      <c r="P17" s="249"/>
      <c r="Q17" s="249"/>
      <c r="R17" s="249"/>
      <c r="S17" s="249"/>
    </row>
    <row r="18" spans="1:19" x14ac:dyDescent="0.45">
      <c r="A18" s="40">
        <v>4</v>
      </c>
      <c r="B18" s="72">
        <v>0.14000000000000001</v>
      </c>
      <c r="C18" s="73">
        <f t="shared" si="0"/>
        <v>0.13</v>
      </c>
      <c r="D18" s="73">
        <f t="shared" si="1"/>
        <v>1.0000000000000009E-2</v>
      </c>
      <c r="G18" s="40">
        <v>4</v>
      </c>
      <c r="H18" s="72">
        <v>0.52</v>
      </c>
      <c r="I18" s="73">
        <f t="shared" si="2"/>
        <v>0.4</v>
      </c>
      <c r="J18" s="73">
        <f t="shared" si="3"/>
        <v>0.12</v>
      </c>
      <c r="N18" s="249"/>
      <c r="O18" s="249"/>
      <c r="P18" s="249"/>
      <c r="Q18" s="249"/>
      <c r="R18" s="249"/>
      <c r="S18" s="249"/>
    </row>
    <row r="19" spans="1:19" x14ac:dyDescent="0.45">
      <c r="A19" s="40">
        <v>5</v>
      </c>
      <c r="B19" s="72">
        <v>0.15</v>
      </c>
      <c r="C19" s="73">
        <f t="shared" si="0"/>
        <v>0.14000000000000001</v>
      </c>
      <c r="D19" s="73">
        <f t="shared" si="1"/>
        <v>9.9999999999999811E-3</v>
      </c>
      <c r="G19" s="40">
        <v>5</v>
      </c>
      <c r="H19" s="72">
        <v>0.62</v>
      </c>
      <c r="I19" s="73">
        <f t="shared" si="2"/>
        <v>0.52</v>
      </c>
      <c r="J19" s="73">
        <f t="shared" si="3"/>
        <v>9.9999999999999978E-2</v>
      </c>
      <c r="N19" s="249"/>
      <c r="O19" s="249"/>
      <c r="P19" s="249"/>
      <c r="Q19" s="249"/>
      <c r="R19" s="249"/>
      <c r="S19" s="249"/>
    </row>
    <row r="20" spans="1:19" x14ac:dyDescent="0.45">
      <c r="A20" s="40">
        <v>6</v>
      </c>
      <c r="B20" s="72">
        <v>0.16</v>
      </c>
      <c r="C20" s="73">
        <f t="shared" si="0"/>
        <v>0.15</v>
      </c>
      <c r="D20" s="73">
        <f t="shared" si="1"/>
        <v>1.0000000000000009E-2</v>
      </c>
      <c r="G20" s="40">
        <v>6</v>
      </c>
      <c r="H20" s="72">
        <v>0.7</v>
      </c>
      <c r="I20" s="73">
        <f t="shared" si="2"/>
        <v>0.62</v>
      </c>
      <c r="J20" s="73">
        <f t="shared" si="3"/>
        <v>7.999999999999996E-2</v>
      </c>
      <c r="N20" s="249"/>
      <c r="O20" s="249"/>
      <c r="P20" s="249"/>
      <c r="Q20" s="249"/>
      <c r="R20" s="249"/>
      <c r="S20" s="249"/>
    </row>
    <row r="21" spans="1:19" x14ac:dyDescent="0.45">
      <c r="A21" s="40">
        <v>7</v>
      </c>
      <c r="B21" s="72">
        <v>0.17</v>
      </c>
      <c r="C21" s="73">
        <f t="shared" si="0"/>
        <v>0.16</v>
      </c>
      <c r="D21" s="73">
        <f t="shared" si="1"/>
        <v>1.0000000000000009E-2</v>
      </c>
      <c r="G21" s="40">
        <v>7</v>
      </c>
      <c r="H21" s="72">
        <v>0.75</v>
      </c>
      <c r="I21" s="73">
        <f t="shared" si="2"/>
        <v>0.7</v>
      </c>
      <c r="J21" s="73">
        <f t="shared" si="3"/>
        <v>5.0000000000000044E-2</v>
      </c>
      <c r="N21" s="249"/>
      <c r="O21" s="249"/>
      <c r="P21" s="249"/>
      <c r="Q21" s="249"/>
      <c r="R21" s="249"/>
      <c r="S21" s="249"/>
    </row>
    <row r="22" spans="1:19" x14ac:dyDescent="0.45">
      <c r="A22" s="40">
        <v>8</v>
      </c>
      <c r="B22" s="72">
        <v>0.18</v>
      </c>
      <c r="C22" s="73">
        <f t="shared" si="0"/>
        <v>0.17</v>
      </c>
      <c r="D22" s="73">
        <f t="shared" si="1"/>
        <v>9.9999999999999811E-3</v>
      </c>
      <c r="G22" s="40">
        <v>8</v>
      </c>
      <c r="H22" s="72">
        <v>0.78</v>
      </c>
      <c r="I22" s="73">
        <f t="shared" si="2"/>
        <v>0.75</v>
      </c>
      <c r="J22" s="73">
        <f t="shared" si="3"/>
        <v>3.0000000000000027E-2</v>
      </c>
      <c r="N22" s="249"/>
      <c r="O22" s="249"/>
      <c r="P22" s="249"/>
      <c r="Q22" s="249"/>
      <c r="R22" s="249"/>
      <c r="S22" s="249"/>
    </row>
    <row r="23" spans="1:19" x14ac:dyDescent="0.45">
      <c r="A23" s="40">
        <v>9</v>
      </c>
      <c r="B23" s="72">
        <v>0.19</v>
      </c>
      <c r="C23" s="73">
        <f t="shared" si="0"/>
        <v>0.18</v>
      </c>
      <c r="D23" s="73">
        <f t="shared" si="1"/>
        <v>1.0000000000000009E-2</v>
      </c>
      <c r="G23" s="40">
        <v>9</v>
      </c>
      <c r="H23" s="72">
        <v>0.8</v>
      </c>
      <c r="I23" s="73">
        <f t="shared" si="2"/>
        <v>0.78</v>
      </c>
      <c r="J23" s="73">
        <f t="shared" si="3"/>
        <v>2.0000000000000018E-2</v>
      </c>
      <c r="N23" s="249"/>
      <c r="O23" s="249"/>
      <c r="P23" s="249"/>
      <c r="Q23" s="249"/>
      <c r="R23" s="249"/>
      <c r="S23" s="249"/>
    </row>
    <row r="24" spans="1:19" x14ac:dyDescent="0.45">
      <c r="A24" s="40">
        <v>10</v>
      </c>
      <c r="B24" s="72">
        <v>0.2</v>
      </c>
      <c r="C24" s="73">
        <f t="shared" si="0"/>
        <v>0.19</v>
      </c>
      <c r="D24" s="73">
        <f t="shared" si="1"/>
        <v>1.0000000000000009E-2</v>
      </c>
      <c r="G24" s="40">
        <v>10</v>
      </c>
      <c r="H24" s="72">
        <v>0.82</v>
      </c>
      <c r="I24" s="73">
        <f t="shared" si="2"/>
        <v>0.8</v>
      </c>
      <c r="J24" s="73">
        <f t="shared" si="3"/>
        <v>1.9999999999999907E-2</v>
      </c>
      <c r="N24" s="249"/>
      <c r="O24" s="249"/>
      <c r="P24" s="249"/>
      <c r="Q24" s="249"/>
      <c r="R24" s="249"/>
      <c r="S24" s="249"/>
    </row>
    <row r="25" spans="1:19" x14ac:dyDescent="0.45">
      <c r="A25" s="40">
        <v>11</v>
      </c>
      <c r="B25" s="72">
        <v>0.21</v>
      </c>
      <c r="C25" s="73">
        <f t="shared" si="0"/>
        <v>0.2</v>
      </c>
      <c r="D25" s="73">
        <f t="shared" si="1"/>
        <v>9.9999999999999811E-3</v>
      </c>
      <c r="G25" s="40">
        <v>11</v>
      </c>
      <c r="H25" s="72">
        <v>0.83</v>
      </c>
      <c r="I25" s="73">
        <f t="shared" si="2"/>
        <v>0.82</v>
      </c>
      <c r="J25" s="73">
        <f t="shared" si="3"/>
        <v>1.0000000000000009E-2</v>
      </c>
      <c r="N25" s="249"/>
      <c r="O25" s="249"/>
      <c r="P25" s="249"/>
      <c r="Q25" s="249"/>
      <c r="R25" s="249"/>
      <c r="S25" s="249"/>
    </row>
    <row r="26" spans="1:19" x14ac:dyDescent="0.45">
      <c r="A26" s="40">
        <v>12</v>
      </c>
      <c r="B26" s="72">
        <v>0.22</v>
      </c>
      <c r="C26" s="73">
        <f t="shared" si="0"/>
        <v>0.21</v>
      </c>
      <c r="D26" s="73">
        <f t="shared" si="1"/>
        <v>1.0000000000000009E-2</v>
      </c>
      <c r="G26" s="40">
        <v>12</v>
      </c>
      <c r="H26" s="72">
        <v>0.84</v>
      </c>
      <c r="I26" s="73">
        <f t="shared" si="2"/>
        <v>0.83</v>
      </c>
      <c r="J26" s="73">
        <f t="shared" si="3"/>
        <v>1.0000000000000009E-2</v>
      </c>
      <c r="N26" s="249"/>
      <c r="O26" s="249"/>
      <c r="P26" s="249"/>
      <c r="Q26" s="249"/>
      <c r="R26" s="249"/>
      <c r="S26" s="249"/>
    </row>
    <row r="27" spans="1:19" x14ac:dyDescent="0.45">
      <c r="A27" s="40">
        <v>13</v>
      </c>
      <c r="B27" s="72">
        <v>0.23</v>
      </c>
      <c r="C27" s="73">
        <f t="shared" si="0"/>
        <v>0.22</v>
      </c>
      <c r="D27" s="73">
        <f t="shared" si="1"/>
        <v>1.0000000000000009E-2</v>
      </c>
      <c r="G27" s="40">
        <v>13</v>
      </c>
      <c r="H27" s="72">
        <v>0.85</v>
      </c>
      <c r="I27" s="73">
        <f t="shared" si="2"/>
        <v>0.84</v>
      </c>
      <c r="J27" s="73">
        <f t="shared" si="3"/>
        <v>1.0000000000000009E-2</v>
      </c>
      <c r="N27" s="249"/>
      <c r="O27" s="249"/>
      <c r="P27" s="249"/>
      <c r="Q27" s="249"/>
      <c r="R27" s="249"/>
      <c r="S27" s="249"/>
    </row>
    <row r="28" spans="1:19" x14ac:dyDescent="0.45">
      <c r="A28" s="40">
        <v>14</v>
      </c>
      <c r="B28" s="72">
        <v>0.24</v>
      </c>
      <c r="C28" s="73">
        <f t="shared" si="0"/>
        <v>0.23</v>
      </c>
      <c r="D28" s="73">
        <f t="shared" si="1"/>
        <v>9.9999999999999811E-3</v>
      </c>
      <c r="G28" s="40">
        <v>14</v>
      </c>
      <c r="H28" s="72">
        <v>0.86</v>
      </c>
      <c r="I28" s="73">
        <f t="shared" si="2"/>
        <v>0.85</v>
      </c>
      <c r="J28" s="73">
        <f t="shared" si="3"/>
        <v>1.0000000000000009E-2</v>
      </c>
      <c r="N28" s="249"/>
      <c r="O28" s="249"/>
      <c r="P28" s="249"/>
      <c r="Q28" s="249"/>
      <c r="R28" s="249"/>
      <c r="S28" s="249"/>
    </row>
    <row r="29" spans="1:19" x14ac:dyDescent="0.45">
      <c r="A29" s="40">
        <v>15</v>
      </c>
      <c r="B29" s="72">
        <v>0.25</v>
      </c>
      <c r="C29" s="73">
        <f t="shared" si="0"/>
        <v>0.24</v>
      </c>
      <c r="D29" s="73">
        <f t="shared" si="1"/>
        <v>1.0000000000000009E-2</v>
      </c>
      <c r="G29" s="40">
        <v>15</v>
      </c>
      <c r="H29" s="72">
        <v>0.87</v>
      </c>
      <c r="I29" s="73">
        <f t="shared" si="2"/>
        <v>0.86</v>
      </c>
      <c r="J29" s="73">
        <f t="shared" si="3"/>
        <v>1.0000000000000009E-2</v>
      </c>
      <c r="N29" s="249"/>
      <c r="O29" s="249"/>
      <c r="P29" s="249"/>
      <c r="Q29" s="249"/>
      <c r="R29" s="249"/>
      <c r="S29" s="249"/>
    </row>
    <row r="30" spans="1:19" x14ac:dyDescent="0.45">
      <c r="A30" s="40">
        <v>16</v>
      </c>
      <c r="B30" s="72">
        <v>0.26</v>
      </c>
      <c r="C30" s="73">
        <f t="shared" si="0"/>
        <v>0.25</v>
      </c>
      <c r="D30" s="73">
        <f t="shared" si="1"/>
        <v>1.0000000000000009E-2</v>
      </c>
      <c r="G30" s="40">
        <v>16</v>
      </c>
      <c r="H30" s="72">
        <v>0.88</v>
      </c>
      <c r="I30" s="73">
        <f t="shared" si="2"/>
        <v>0.87</v>
      </c>
      <c r="J30" s="73">
        <f t="shared" si="3"/>
        <v>1.0000000000000009E-2</v>
      </c>
      <c r="N30" s="249"/>
      <c r="O30" s="249"/>
      <c r="P30" s="249"/>
      <c r="Q30" s="249"/>
      <c r="R30" s="249"/>
      <c r="S30" s="249"/>
    </row>
    <row r="31" spans="1:19" x14ac:dyDescent="0.45">
      <c r="A31" s="40">
        <v>17</v>
      </c>
      <c r="B31" s="72">
        <v>0.27</v>
      </c>
      <c r="C31" s="73">
        <f t="shared" si="0"/>
        <v>0.26</v>
      </c>
      <c r="D31" s="73">
        <f t="shared" si="1"/>
        <v>1.0000000000000009E-2</v>
      </c>
      <c r="G31" s="40">
        <v>17</v>
      </c>
      <c r="H31" s="72">
        <v>0.89</v>
      </c>
      <c r="I31" s="73">
        <f t="shared" si="2"/>
        <v>0.88</v>
      </c>
      <c r="J31" s="73">
        <f t="shared" si="3"/>
        <v>1.0000000000000009E-2</v>
      </c>
      <c r="N31" s="249"/>
      <c r="O31" s="249"/>
      <c r="P31" s="249"/>
      <c r="Q31" s="249"/>
      <c r="R31" s="249"/>
      <c r="S31" s="249"/>
    </row>
    <row r="32" spans="1:19" x14ac:dyDescent="0.45">
      <c r="A32" s="40">
        <v>18</v>
      </c>
      <c r="B32" s="72">
        <v>0.28000000000000003</v>
      </c>
      <c r="C32" s="73">
        <f t="shared" si="0"/>
        <v>0.27</v>
      </c>
      <c r="D32" s="73">
        <f t="shared" si="1"/>
        <v>1.0000000000000009E-2</v>
      </c>
      <c r="G32" s="40">
        <v>18</v>
      </c>
      <c r="H32" s="72">
        <v>0.9</v>
      </c>
      <c r="I32" s="73">
        <f t="shared" si="2"/>
        <v>0.89</v>
      </c>
      <c r="J32" s="73">
        <f t="shared" si="3"/>
        <v>1.0000000000000009E-2</v>
      </c>
      <c r="N32" s="249"/>
      <c r="O32" s="249"/>
      <c r="P32" s="249"/>
      <c r="Q32" s="249"/>
      <c r="R32" s="249"/>
      <c r="S32" s="249"/>
    </row>
    <row r="33" spans="1:19" x14ac:dyDescent="0.45">
      <c r="A33" s="40">
        <v>19</v>
      </c>
      <c r="B33" s="72">
        <v>0.28999999999999998</v>
      </c>
      <c r="C33" s="73">
        <f t="shared" si="0"/>
        <v>0.28000000000000003</v>
      </c>
      <c r="D33" s="73">
        <f t="shared" si="1"/>
        <v>9.9999999999999534E-3</v>
      </c>
      <c r="G33" s="40">
        <v>19</v>
      </c>
      <c r="H33" s="72">
        <v>0.91</v>
      </c>
      <c r="I33" s="73">
        <f t="shared" si="2"/>
        <v>0.9</v>
      </c>
      <c r="J33" s="73">
        <f t="shared" si="3"/>
        <v>1.0000000000000009E-2</v>
      </c>
      <c r="N33" s="249"/>
      <c r="O33" s="249"/>
      <c r="P33" s="249"/>
      <c r="Q33" s="249"/>
      <c r="R33" s="249"/>
      <c r="S33" s="249"/>
    </row>
    <row r="34" spans="1:19" x14ac:dyDescent="0.45">
      <c r="A34" s="40">
        <v>20</v>
      </c>
      <c r="B34" s="72">
        <v>0.3</v>
      </c>
      <c r="C34" s="73">
        <f t="shared" si="0"/>
        <v>0.28999999999999998</v>
      </c>
      <c r="D34" s="73">
        <f t="shared" si="1"/>
        <v>1.0000000000000009E-2</v>
      </c>
      <c r="G34" s="40">
        <v>20</v>
      </c>
      <c r="H34" s="72">
        <v>0.92</v>
      </c>
      <c r="I34" s="73">
        <f t="shared" si="2"/>
        <v>0.91</v>
      </c>
      <c r="J34" s="73">
        <f t="shared" si="3"/>
        <v>1.0000000000000009E-2</v>
      </c>
      <c r="N34" s="249"/>
      <c r="O34" s="249"/>
      <c r="P34" s="249"/>
      <c r="Q34" s="249"/>
      <c r="R34" s="249"/>
      <c r="S34" s="249"/>
    </row>
    <row r="37" spans="1:19" x14ac:dyDescent="0.45">
      <c r="A37" s="184" t="s">
        <v>410</v>
      </c>
      <c r="B37" s="28"/>
      <c r="C37" s="28"/>
      <c r="D37" s="28"/>
      <c r="E37" s="28"/>
      <c r="F37" s="28"/>
      <c r="G37" s="29"/>
    </row>
    <row r="38" spans="1:19" x14ac:dyDescent="0.45">
      <c r="A38" s="185" t="s">
        <v>403</v>
      </c>
      <c r="B38" s="185" t="s">
        <v>409</v>
      </c>
      <c r="C38" s="185" t="s">
        <v>406</v>
      </c>
      <c r="D38" s="185" t="s">
        <v>363</v>
      </c>
      <c r="E38" s="185" t="s">
        <v>411</v>
      </c>
      <c r="F38" s="186" t="s">
        <v>412</v>
      </c>
      <c r="G38" s="187"/>
    </row>
    <row r="39" spans="1:19" x14ac:dyDescent="0.45">
      <c r="A39" s="27">
        <v>0</v>
      </c>
      <c r="B39" s="74">
        <f t="shared" ref="B39:B59" si="4">J14</f>
        <v>0</v>
      </c>
      <c r="C39" s="74">
        <f t="shared" ref="C39:C59" si="5">D14</f>
        <v>0</v>
      </c>
      <c r="D39" s="75">
        <v>0</v>
      </c>
      <c r="E39" s="49">
        <v>0</v>
      </c>
      <c r="F39" s="50" t="s">
        <v>413</v>
      </c>
      <c r="G39" s="48"/>
    </row>
    <row r="40" spans="1:19" x14ac:dyDescent="0.45">
      <c r="A40" s="27">
        <v>1</v>
      </c>
      <c r="B40" s="74">
        <f t="shared" si="4"/>
        <v>7.9999999999999988E-2</v>
      </c>
      <c r="C40" s="74">
        <f t="shared" si="5"/>
        <v>9.999999999999995E-3</v>
      </c>
      <c r="D40" s="75">
        <f t="shared" ref="D40:D59" si="6">B40-C40</f>
        <v>6.9999999999999993E-2</v>
      </c>
      <c r="E40" s="49">
        <f t="shared" ref="E40:E59" si="7">E39+D40</f>
        <v>6.9999999999999993E-2</v>
      </c>
      <c r="F40" s="50" t="str">
        <f t="shared" ref="F40:F59" si="8">IF(D40&gt;0,"Additional","Not Additional")</f>
        <v>Additional</v>
      </c>
      <c r="G40" s="48"/>
    </row>
    <row r="41" spans="1:19" x14ac:dyDescent="0.45">
      <c r="A41" s="27">
        <v>2</v>
      </c>
      <c r="B41" s="74">
        <f t="shared" si="4"/>
        <v>0.10000000000000003</v>
      </c>
      <c r="C41" s="74">
        <f t="shared" si="5"/>
        <v>9.999999999999995E-3</v>
      </c>
      <c r="D41" s="75">
        <f t="shared" si="6"/>
        <v>9.0000000000000038E-2</v>
      </c>
      <c r="E41" s="49">
        <f t="shared" si="7"/>
        <v>0.16000000000000003</v>
      </c>
      <c r="F41" s="50" t="str">
        <f t="shared" si="8"/>
        <v>Additional</v>
      </c>
      <c r="G41" s="48"/>
    </row>
    <row r="42" spans="1:19" x14ac:dyDescent="0.45">
      <c r="A42" s="27">
        <v>3</v>
      </c>
      <c r="B42" s="74">
        <f t="shared" si="4"/>
        <v>0.12</v>
      </c>
      <c r="C42" s="74">
        <f t="shared" si="5"/>
        <v>1.0000000000000009E-2</v>
      </c>
      <c r="D42" s="75">
        <f t="shared" si="6"/>
        <v>0.10999999999999999</v>
      </c>
      <c r="E42" s="49">
        <f t="shared" si="7"/>
        <v>0.27</v>
      </c>
      <c r="F42" s="50" t="str">
        <f t="shared" si="8"/>
        <v>Additional</v>
      </c>
      <c r="G42" s="48"/>
    </row>
    <row r="43" spans="1:19" x14ac:dyDescent="0.45">
      <c r="A43" s="27">
        <v>4</v>
      </c>
      <c r="B43" s="74">
        <f t="shared" si="4"/>
        <v>0.12</v>
      </c>
      <c r="C43" s="74">
        <f t="shared" si="5"/>
        <v>1.0000000000000009E-2</v>
      </c>
      <c r="D43" s="75">
        <f t="shared" si="6"/>
        <v>0.10999999999999999</v>
      </c>
      <c r="E43" s="49">
        <f t="shared" si="7"/>
        <v>0.38</v>
      </c>
      <c r="F43" s="50" t="str">
        <f t="shared" si="8"/>
        <v>Additional</v>
      </c>
      <c r="G43" s="48"/>
    </row>
    <row r="44" spans="1:19" x14ac:dyDescent="0.45">
      <c r="A44" s="27">
        <v>5</v>
      </c>
      <c r="B44" s="74">
        <f t="shared" si="4"/>
        <v>9.9999999999999978E-2</v>
      </c>
      <c r="C44" s="74">
        <f t="shared" si="5"/>
        <v>9.9999999999999811E-3</v>
      </c>
      <c r="D44" s="75">
        <f t="shared" si="6"/>
        <v>0.09</v>
      </c>
      <c r="E44" s="49">
        <f t="shared" si="7"/>
        <v>0.47</v>
      </c>
      <c r="F44" s="50" t="str">
        <f t="shared" si="8"/>
        <v>Additional</v>
      </c>
      <c r="G44" s="48"/>
    </row>
    <row r="45" spans="1:19" x14ac:dyDescent="0.45">
      <c r="A45" s="27">
        <v>6</v>
      </c>
      <c r="B45" s="74">
        <f t="shared" si="4"/>
        <v>7.999999999999996E-2</v>
      </c>
      <c r="C45" s="74">
        <f t="shared" si="5"/>
        <v>1.0000000000000009E-2</v>
      </c>
      <c r="D45" s="75">
        <f t="shared" si="6"/>
        <v>6.9999999999999951E-2</v>
      </c>
      <c r="E45" s="49">
        <f t="shared" si="7"/>
        <v>0.53999999999999992</v>
      </c>
      <c r="F45" s="50" t="str">
        <f t="shared" si="8"/>
        <v>Additional</v>
      </c>
      <c r="G45" s="48"/>
    </row>
    <row r="46" spans="1:19" x14ac:dyDescent="0.45">
      <c r="A46" s="27">
        <v>7</v>
      </c>
      <c r="B46" s="74">
        <f t="shared" si="4"/>
        <v>5.0000000000000044E-2</v>
      </c>
      <c r="C46" s="74">
        <f t="shared" si="5"/>
        <v>1.0000000000000009E-2</v>
      </c>
      <c r="D46" s="75">
        <f t="shared" si="6"/>
        <v>4.0000000000000036E-2</v>
      </c>
      <c r="E46" s="49">
        <f t="shared" si="7"/>
        <v>0.57999999999999996</v>
      </c>
      <c r="F46" s="50" t="str">
        <f t="shared" si="8"/>
        <v>Additional</v>
      </c>
      <c r="G46" s="48"/>
    </row>
    <row r="47" spans="1:19" x14ac:dyDescent="0.45">
      <c r="A47" s="27">
        <v>8</v>
      </c>
      <c r="B47" s="74">
        <f t="shared" si="4"/>
        <v>3.0000000000000027E-2</v>
      </c>
      <c r="C47" s="74">
        <f t="shared" si="5"/>
        <v>9.9999999999999811E-3</v>
      </c>
      <c r="D47" s="75">
        <f t="shared" si="6"/>
        <v>2.0000000000000046E-2</v>
      </c>
      <c r="E47" s="49">
        <f t="shared" si="7"/>
        <v>0.6</v>
      </c>
      <c r="F47" s="50" t="str">
        <f t="shared" si="8"/>
        <v>Additional</v>
      </c>
      <c r="G47" s="48"/>
    </row>
    <row r="48" spans="1:19" x14ac:dyDescent="0.45">
      <c r="A48" s="27">
        <v>9</v>
      </c>
      <c r="B48" s="74">
        <f t="shared" si="4"/>
        <v>2.0000000000000018E-2</v>
      </c>
      <c r="C48" s="74">
        <f t="shared" si="5"/>
        <v>1.0000000000000009E-2</v>
      </c>
      <c r="D48" s="75">
        <f t="shared" si="6"/>
        <v>1.0000000000000009E-2</v>
      </c>
      <c r="E48" s="49">
        <f t="shared" si="7"/>
        <v>0.61</v>
      </c>
      <c r="F48" s="50" t="str">
        <f t="shared" si="8"/>
        <v>Additional</v>
      </c>
      <c r="G48" s="48"/>
    </row>
    <row r="49" spans="1:8" x14ac:dyDescent="0.45">
      <c r="A49" s="27">
        <v>10</v>
      </c>
      <c r="B49" s="74">
        <f t="shared" si="4"/>
        <v>1.9999999999999907E-2</v>
      </c>
      <c r="C49" s="74">
        <f t="shared" si="5"/>
        <v>1.0000000000000009E-2</v>
      </c>
      <c r="D49" s="75">
        <f t="shared" si="6"/>
        <v>9.9999999999998979E-3</v>
      </c>
      <c r="E49" s="49">
        <f t="shared" si="7"/>
        <v>0.61999999999999988</v>
      </c>
      <c r="F49" s="50" t="str">
        <f t="shared" si="8"/>
        <v>Additional</v>
      </c>
      <c r="G49" s="48"/>
    </row>
    <row r="50" spans="1:8" x14ac:dyDescent="0.45">
      <c r="A50" s="27">
        <v>11</v>
      </c>
      <c r="B50" s="74">
        <f t="shared" si="4"/>
        <v>1.0000000000000009E-2</v>
      </c>
      <c r="C50" s="74">
        <f t="shared" si="5"/>
        <v>9.9999999999999811E-3</v>
      </c>
      <c r="D50" s="75">
        <f t="shared" si="6"/>
        <v>2.7755575615628914E-17</v>
      </c>
      <c r="E50" s="49">
        <f t="shared" si="7"/>
        <v>0.61999999999999988</v>
      </c>
      <c r="F50" s="50" t="str">
        <f t="shared" si="8"/>
        <v>Additional</v>
      </c>
      <c r="G50" s="48"/>
    </row>
    <row r="51" spans="1:8" x14ac:dyDescent="0.45">
      <c r="A51" s="27">
        <v>12</v>
      </c>
      <c r="B51" s="74">
        <f t="shared" si="4"/>
        <v>1.0000000000000009E-2</v>
      </c>
      <c r="C51" s="74">
        <f t="shared" si="5"/>
        <v>1.0000000000000009E-2</v>
      </c>
      <c r="D51" s="75">
        <f t="shared" si="6"/>
        <v>0</v>
      </c>
      <c r="E51" s="49">
        <f t="shared" si="7"/>
        <v>0.61999999999999988</v>
      </c>
      <c r="F51" s="50" t="str">
        <f t="shared" si="8"/>
        <v>Not Additional</v>
      </c>
      <c r="G51" s="48"/>
    </row>
    <row r="52" spans="1:8" x14ac:dyDescent="0.45">
      <c r="A52" s="27">
        <v>13</v>
      </c>
      <c r="B52" s="74">
        <f t="shared" si="4"/>
        <v>1.0000000000000009E-2</v>
      </c>
      <c r="C52" s="74">
        <f t="shared" si="5"/>
        <v>1.0000000000000009E-2</v>
      </c>
      <c r="D52" s="75">
        <f t="shared" si="6"/>
        <v>0</v>
      </c>
      <c r="E52" s="49">
        <f t="shared" si="7"/>
        <v>0.61999999999999988</v>
      </c>
      <c r="F52" s="50" t="str">
        <f t="shared" si="8"/>
        <v>Not Additional</v>
      </c>
      <c r="G52" s="48"/>
    </row>
    <row r="53" spans="1:8" x14ac:dyDescent="0.45">
      <c r="A53" s="27">
        <v>14</v>
      </c>
      <c r="B53" s="74">
        <f t="shared" si="4"/>
        <v>1.0000000000000009E-2</v>
      </c>
      <c r="C53" s="74">
        <f t="shared" si="5"/>
        <v>9.9999999999999811E-3</v>
      </c>
      <c r="D53" s="75">
        <f t="shared" si="6"/>
        <v>2.7755575615628914E-17</v>
      </c>
      <c r="E53" s="49">
        <f t="shared" si="7"/>
        <v>0.61999999999999988</v>
      </c>
      <c r="F53" s="50" t="str">
        <f t="shared" si="8"/>
        <v>Additional</v>
      </c>
      <c r="G53" s="48"/>
    </row>
    <row r="54" spans="1:8" x14ac:dyDescent="0.45">
      <c r="A54" s="27">
        <v>15</v>
      </c>
      <c r="B54" s="74">
        <f t="shared" si="4"/>
        <v>1.0000000000000009E-2</v>
      </c>
      <c r="C54" s="74">
        <f t="shared" si="5"/>
        <v>1.0000000000000009E-2</v>
      </c>
      <c r="D54" s="75">
        <f t="shared" si="6"/>
        <v>0</v>
      </c>
      <c r="E54" s="49">
        <f t="shared" si="7"/>
        <v>0.61999999999999988</v>
      </c>
      <c r="F54" s="50" t="str">
        <f t="shared" si="8"/>
        <v>Not Additional</v>
      </c>
      <c r="G54" s="48"/>
    </row>
    <row r="55" spans="1:8" x14ac:dyDescent="0.45">
      <c r="A55" s="27">
        <v>16</v>
      </c>
      <c r="B55" s="74">
        <f t="shared" si="4"/>
        <v>1.0000000000000009E-2</v>
      </c>
      <c r="C55" s="74">
        <f t="shared" si="5"/>
        <v>1.0000000000000009E-2</v>
      </c>
      <c r="D55" s="75">
        <f t="shared" si="6"/>
        <v>0</v>
      </c>
      <c r="E55" s="49">
        <f t="shared" si="7"/>
        <v>0.61999999999999988</v>
      </c>
      <c r="F55" s="50" t="str">
        <f t="shared" si="8"/>
        <v>Not Additional</v>
      </c>
      <c r="G55" s="48"/>
    </row>
    <row r="56" spans="1:8" x14ac:dyDescent="0.45">
      <c r="A56" s="27">
        <v>17</v>
      </c>
      <c r="B56" s="74">
        <f t="shared" si="4"/>
        <v>1.0000000000000009E-2</v>
      </c>
      <c r="C56" s="74">
        <f t="shared" si="5"/>
        <v>1.0000000000000009E-2</v>
      </c>
      <c r="D56" s="75">
        <f t="shared" si="6"/>
        <v>0</v>
      </c>
      <c r="E56" s="49">
        <f t="shared" si="7"/>
        <v>0.61999999999999988</v>
      </c>
      <c r="F56" s="50" t="str">
        <f t="shared" si="8"/>
        <v>Not Additional</v>
      </c>
      <c r="G56" s="48"/>
    </row>
    <row r="57" spans="1:8" x14ac:dyDescent="0.45">
      <c r="A57" s="27">
        <v>18</v>
      </c>
      <c r="B57" s="74">
        <f t="shared" si="4"/>
        <v>1.0000000000000009E-2</v>
      </c>
      <c r="C57" s="74">
        <f t="shared" si="5"/>
        <v>1.0000000000000009E-2</v>
      </c>
      <c r="D57" s="75">
        <f t="shared" si="6"/>
        <v>0</v>
      </c>
      <c r="E57" s="49">
        <f t="shared" si="7"/>
        <v>0.61999999999999988</v>
      </c>
      <c r="F57" s="50" t="str">
        <f t="shared" si="8"/>
        <v>Not Additional</v>
      </c>
      <c r="G57" s="48"/>
    </row>
    <row r="58" spans="1:8" x14ac:dyDescent="0.45">
      <c r="A58" s="27">
        <v>19</v>
      </c>
      <c r="B58" s="74">
        <f t="shared" si="4"/>
        <v>1.0000000000000009E-2</v>
      </c>
      <c r="C58" s="74">
        <f t="shared" si="5"/>
        <v>9.9999999999999534E-3</v>
      </c>
      <c r="D58" s="75">
        <f t="shared" si="6"/>
        <v>5.5511151231257827E-17</v>
      </c>
      <c r="E58" s="49">
        <f t="shared" si="7"/>
        <v>0.61999999999999988</v>
      </c>
      <c r="F58" s="50" t="str">
        <f t="shared" si="8"/>
        <v>Additional</v>
      </c>
      <c r="G58" s="48"/>
    </row>
    <row r="59" spans="1:8" x14ac:dyDescent="0.45">
      <c r="A59" s="27">
        <v>20</v>
      </c>
      <c r="B59" s="74">
        <f t="shared" si="4"/>
        <v>1.0000000000000009E-2</v>
      </c>
      <c r="C59" s="74">
        <f t="shared" si="5"/>
        <v>1.0000000000000009E-2</v>
      </c>
      <c r="D59" s="75">
        <f t="shared" si="6"/>
        <v>0</v>
      </c>
      <c r="E59" s="49">
        <f t="shared" si="7"/>
        <v>0.61999999999999988</v>
      </c>
      <c r="F59" s="50" t="str">
        <f t="shared" si="8"/>
        <v>Not Additional</v>
      </c>
      <c r="G59" s="48"/>
    </row>
    <row r="62" spans="1:8" x14ac:dyDescent="0.45">
      <c r="A62" s="184" t="s">
        <v>414</v>
      </c>
      <c r="B62" s="28"/>
      <c r="C62" s="31"/>
      <c r="D62" s="31"/>
      <c r="E62" s="28"/>
      <c r="F62" s="28"/>
      <c r="G62" s="28"/>
      <c r="H62" s="29"/>
    </row>
    <row r="63" spans="1:8" x14ac:dyDescent="0.45">
      <c r="A63" s="185" t="s">
        <v>89</v>
      </c>
      <c r="B63" s="188" t="s">
        <v>415</v>
      </c>
      <c r="C63" s="189"/>
      <c r="E63" s="188" t="s">
        <v>416</v>
      </c>
      <c r="F63" s="189"/>
      <c r="G63" s="186" t="s">
        <v>90</v>
      </c>
      <c r="H63" s="189"/>
    </row>
    <row r="64" spans="1:8" x14ac:dyDescent="0.45">
      <c r="A64" s="30" t="s">
        <v>404</v>
      </c>
      <c r="B64" s="32" t="s">
        <v>417</v>
      </c>
      <c r="C64" s="17"/>
      <c r="E64" s="33" t="s">
        <v>418</v>
      </c>
      <c r="F64" s="2"/>
      <c r="G64" s="33" t="s">
        <v>419</v>
      </c>
      <c r="H64" s="2"/>
    </row>
    <row r="65" spans="1:8" x14ac:dyDescent="0.45">
      <c r="A65" s="30" t="s">
        <v>407</v>
      </c>
      <c r="B65" s="26" t="s">
        <v>420</v>
      </c>
      <c r="C65" s="17"/>
      <c r="E65" s="33" t="s">
        <v>418</v>
      </c>
      <c r="F65" s="2"/>
      <c r="G65" s="33" t="s">
        <v>419</v>
      </c>
      <c r="H65" s="2"/>
    </row>
    <row r="66" spans="1:8" x14ac:dyDescent="0.45">
      <c r="A66" s="30" t="s">
        <v>405</v>
      </c>
      <c r="B66" s="26" t="s">
        <v>421</v>
      </c>
      <c r="C66" s="17"/>
      <c r="E66" s="33" t="s">
        <v>418</v>
      </c>
      <c r="F66" s="2"/>
      <c r="G66" s="33" t="s">
        <v>422</v>
      </c>
      <c r="H66" s="2"/>
    </row>
    <row r="67" spans="1:8" x14ac:dyDescent="0.45">
      <c r="A67" s="30" t="s">
        <v>408</v>
      </c>
      <c r="B67" s="26" t="s">
        <v>423</v>
      </c>
      <c r="C67" s="17"/>
      <c r="E67" s="33" t="s">
        <v>418</v>
      </c>
      <c r="F67" s="2"/>
      <c r="G67" s="33" t="s">
        <v>422</v>
      </c>
      <c r="H67" s="2"/>
    </row>
    <row r="68" spans="1:8" x14ac:dyDescent="0.45">
      <c r="A68" s="30" t="s">
        <v>406</v>
      </c>
      <c r="B68" s="26" t="s">
        <v>424</v>
      </c>
      <c r="C68" s="17"/>
      <c r="E68" s="33" t="s">
        <v>425</v>
      </c>
      <c r="F68" s="2"/>
      <c r="G68" s="33" t="s">
        <v>426</v>
      </c>
      <c r="H68" s="2"/>
    </row>
    <row r="69" spans="1:8" x14ac:dyDescent="0.45">
      <c r="A69" s="30" t="s">
        <v>409</v>
      </c>
      <c r="B69" s="26" t="s">
        <v>427</v>
      </c>
      <c r="C69" s="17"/>
      <c r="E69" s="33" t="s">
        <v>425</v>
      </c>
      <c r="F69" s="2"/>
      <c r="G69" s="33" t="s">
        <v>428</v>
      </c>
      <c r="H69" s="2"/>
    </row>
    <row r="70" spans="1:8" x14ac:dyDescent="0.45">
      <c r="A70" s="30" t="s">
        <v>363</v>
      </c>
      <c r="B70" s="26" t="s">
        <v>429</v>
      </c>
      <c r="C70" s="17"/>
      <c r="E70" s="33" t="s">
        <v>425</v>
      </c>
      <c r="F70" s="2"/>
      <c r="G70" s="33" t="s">
        <v>430</v>
      </c>
      <c r="H70" s="2"/>
    </row>
    <row r="71" spans="1:8" x14ac:dyDescent="0.45">
      <c r="A71" s="30" t="s">
        <v>431</v>
      </c>
      <c r="B71" s="26" t="s">
        <v>432</v>
      </c>
      <c r="C71" s="17"/>
      <c r="E71" s="26" t="s">
        <v>433</v>
      </c>
      <c r="G71" s="33" t="s">
        <v>434</v>
      </c>
      <c r="H71" s="2"/>
    </row>
    <row r="72" spans="1:8" x14ac:dyDescent="0.45">
      <c r="A72" s="30"/>
      <c r="B72" s="25" t="s">
        <v>435</v>
      </c>
      <c r="C72" s="17"/>
      <c r="E72" s="26"/>
      <c r="G72" s="33" t="s">
        <v>436</v>
      </c>
      <c r="H72" s="2"/>
    </row>
    <row r="73" spans="1:8" x14ac:dyDescent="0.45">
      <c r="A73" s="30"/>
      <c r="B73" s="25" t="s">
        <v>437</v>
      </c>
      <c r="C73" s="17"/>
      <c r="E73" s="26"/>
      <c r="G73" s="33" t="s">
        <v>438</v>
      </c>
      <c r="H73" s="2"/>
    </row>
    <row r="76" spans="1:8" x14ac:dyDescent="0.45">
      <c r="A76" s="184" t="s">
        <v>439</v>
      </c>
      <c r="B76" s="28"/>
      <c r="C76" s="28"/>
      <c r="D76" s="28"/>
      <c r="E76" s="29"/>
    </row>
    <row r="77" spans="1:8" x14ac:dyDescent="0.45">
      <c r="A77" s="185" t="s">
        <v>412</v>
      </c>
      <c r="B77" s="185" t="s">
        <v>440</v>
      </c>
      <c r="C77" s="185" t="s">
        <v>5</v>
      </c>
      <c r="D77" s="186" t="s">
        <v>90</v>
      </c>
      <c r="E77" s="189"/>
    </row>
    <row r="78" spans="1:8" x14ac:dyDescent="0.45">
      <c r="A78" s="30" t="s">
        <v>441</v>
      </c>
      <c r="B78" s="51">
        <f>COUNTA(B14:B34)/21</f>
        <v>1</v>
      </c>
      <c r="C78" s="52" t="str">
        <f>IF(B78&gt;=0.8,"PASS","FAIL")</f>
        <v>PASS</v>
      </c>
      <c r="D78" s="34" t="s">
        <v>442</v>
      </c>
      <c r="E78" s="2"/>
    </row>
    <row r="79" spans="1:8" x14ac:dyDescent="0.45">
      <c r="A79" s="30" t="s">
        <v>443</v>
      </c>
      <c r="B79" s="51">
        <f>COUNTA(H14:H34)/21</f>
        <v>1</v>
      </c>
      <c r="C79" s="52" t="str">
        <f>IF(B79&gt;=0.8,"PASS","FAIL")</f>
        <v>PASS</v>
      </c>
      <c r="D79" s="34" t="s">
        <v>442</v>
      </c>
      <c r="E79" s="2"/>
    </row>
    <row r="80" spans="1:8" x14ac:dyDescent="0.45">
      <c r="A80" s="30" t="s">
        <v>444</v>
      </c>
      <c r="B80" s="51" t="str">
        <f>IF(AND(MAX(B14:B34)&lt;=1,MIN(B14:B34)&gt;=0),"Valid","Invalid")</f>
        <v>Valid</v>
      </c>
      <c r="C80" s="52" t="str">
        <f>IF(B80="Valid","PASS","FAIL")</f>
        <v>PASS</v>
      </c>
      <c r="D80" s="34" t="s">
        <v>445</v>
      </c>
      <c r="E80" s="2"/>
    </row>
    <row r="81" spans="1:5" x14ac:dyDescent="0.45">
      <c r="A81" s="30" t="s">
        <v>446</v>
      </c>
      <c r="B81" s="51" t="str">
        <f>IF(AND(MAX(H14:H34)&lt;=1,MIN(H14:H34)&gt;=0),"Valid","Invalid")</f>
        <v>Valid</v>
      </c>
      <c r="C81" s="52" t="str">
        <f>IF(B81="Valid","PASS","FAIL")</f>
        <v>PASS</v>
      </c>
      <c r="D81" s="34" t="s">
        <v>445</v>
      </c>
      <c r="E81" s="2"/>
    </row>
    <row r="82" spans="1:5" x14ac:dyDescent="0.45">
      <c r="A82" s="30" t="s">
        <v>447</v>
      </c>
      <c r="B82" s="51">
        <f>AVERAGE(D39:D59)</f>
        <v>2.9523809523809518E-2</v>
      </c>
      <c r="C82" s="52" t="str">
        <f>IF(B82&gt;0,"Additional","Not Additional")</f>
        <v>Additional</v>
      </c>
      <c r="D82" s="34" t="s">
        <v>448</v>
      </c>
      <c r="E82" s="2"/>
    </row>
    <row r="83" spans="1:5" x14ac:dyDescent="0.45">
      <c r="A83" s="30" t="s">
        <v>449</v>
      </c>
      <c r="B83" s="51">
        <f>MAX(E39:E59)</f>
        <v>0.61999999999999988</v>
      </c>
      <c r="C83" s="52" t="str">
        <f>IF(B83&gt;0,"Additional","Not Additional")</f>
        <v>Additional</v>
      </c>
      <c r="D83" s="34" t="s">
        <v>450</v>
      </c>
      <c r="E83" s="2"/>
    </row>
    <row r="84" spans="1:5" x14ac:dyDescent="0.45">
      <c r="A84" s="30" t="s">
        <v>451</v>
      </c>
      <c r="B84" s="51">
        <f>COUNTIF(F39:F59,"Additional")</f>
        <v>13</v>
      </c>
      <c r="C84" s="52" t="str">
        <f>CONCATENATE(B84," of 20 years")</f>
        <v>13 of 20 years</v>
      </c>
      <c r="D84" s="34" t="s">
        <v>452</v>
      </c>
      <c r="E84" s="2"/>
    </row>
    <row r="87" spans="1:5" x14ac:dyDescent="0.45">
      <c r="A87" s="53" t="s">
        <v>453</v>
      </c>
      <c r="B87" s="53" t="str">
        <f>IF(AND(C78="PASS",C79="PASS",C80="PASS",C81="PASS",B82&gt;0),"PROJECT DEMONSTRATES ADDITIONALITY","REVIEW REQUIRED")</f>
        <v>PROJECT DEMONSTRATES ADDITIONALITY</v>
      </c>
      <c r="C87" s="54"/>
      <c r="D87" s="55"/>
    </row>
    <row r="89" spans="1:5" x14ac:dyDescent="0.45">
      <c r="A89" s="182" t="s">
        <v>454</v>
      </c>
      <c r="B89" s="28"/>
      <c r="C89" s="28"/>
      <c r="D89" s="29"/>
    </row>
    <row r="90" spans="1:5" x14ac:dyDescent="0.45">
      <c r="A90" s="23" t="s">
        <v>455</v>
      </c>
    </row>
    <row r="91" spans="1:5" x14ac:dyDescent="0.45">
      <c r="A91" s="23" t="s">
        <v>456</v>
      </c>
    </row>
    <row r="92" spans="1:5" x14ac:dyDescent="0.45">
      <c r="A92" s="23" t="s">
        <v>457</v>
      </c>
    </row>
    <row r="93" spans="1:5" x14ac:dyDescent="0.45">
      <c r="A93" s="23" t="s">
        <v>458</v>
      </c>
    </row>
    <row r="94" spans="1:5" x14ac:dyDescent="0.45">
      <c r="A94" s="23" t="s">
        <v>459</v>
      </c>
    </row>
    <row r="95" spans="1:5" x14ac:dyDescent="0.45">
      <c r="A95" s="23" t="s">
        <v>460</v>
      </c>
    </row>
    <row r="96" spans="1:5" x14ac:dyDescent="0.45">
      <c r="A96" s="24" t="s">
        <v>461</v>
      </c>
    </row>
    <row r="97" spans="1:1" x14ac:dyDescent="0.45">
      <c r="A97" s="24" t="s">
        <v>462</v>
      </c>
    </row>
    <row r="98" spans="1:1" x14ac:dyDescent="0.45">
      <c r="A98" s="24" t="s">
        <v>463</v>
      </c>
    </row>
    <row r="99" spans="1:1" x14ac:dyDescent="0.45">
      <c r="A99" s="24" t="s">
        <v>464</v>
      </c>
    </row>
    <row r="100" spans="1:1" x14ac:dyDescent="0.45">
      <c r="A100" s="23"/>
    </row>
    <row r="101" spans="1:1" x14ac:dyDescent="0.45">
      <c r="A101" s="24" t="s">
        <v>465</v>
      </c>
    </row>
    <row r="102" spans="1:1" x14ac:dyDescent="0.45">
      <c r="A102" s="23" t="s">
        <v>466</v>
      </c>
    </row>
    <row r="103" spans="1:1" x14ac:dyDescent="0.45">
      <c r="A103" s="23" t="s">
        <v>467</v>
      </c>
    </row>
    <row r="104" spans="1:1" x14ac:dyDescent="0.45">
      <c r="A104" s="23" t="s">
        <v>468</v>
      </c>
    </row>
    <row r="105" spans="1:1" x14ac:dyDescent="0.45">
      <c r="A105" s="23" t="s">
        <v>469</v>
      </c>
    </row>
    <row r="107" spans="1:1" x14ac:dyDescent="0.45">
      <c r="A107" s="37" t="s">
        <v>470</v>
      </c>
    </row>
    <row r="108" spans="1:1" x14ac:dyDescent="0.45">
      <c r="A108" s="37" t="s">
        <v>471</v>
      </c>
    </row>
  </sheetData>
  <mergeCells count="2">
    <mergeCell ref="A1:X1"/>
    <mergeCell ref="N12:S34"/>
  </mergeCells>
  <pageMargins left="0.75" right="0.75" top="1" bottom="1" header="0.5" footer="0.5"/>
  <pageSetup orientation="portrait"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85B7B6-7D2F-44D9-8FC2-49E3506132ED}">
  <dimension ref="A1:AC31"/>
  <sheetViews>
    <sheetView workbookViewId="0"/>
  </sheetViews>
  <sheetFormatPr defaultRowHeight="14.25" x14ac:dyDescent="0.45"/>
  <cols>
    <col min="1" max="6" width="3.53125" customWidth="1"/>
    <col min="7" max="29" width="3.1328125" customWidth="1"/>
    <col min="30" max="41" width="3.53125" customWidth="1"/>
  </cols>
  <sheetData>
    <row r="1" spans="1:29" x14ac:dyDescent="0.45">
      <c r="A1" t="s">
        <v>472</v>
      </c>
    </row>
    <row r="9" spans="1:29" x14ac:dyDescent="0.45">
      <c r="G9" s="124"/>
      <c r="H9" s="124"/>
      <c r="I9" s="124">
        <v>0</v>
      </c>
      <c r="J9" s="125">
        <v>1</v>
      </c>
      <c r="K9" s="125">
        <v>2</v>
      </c>
      <c r="L9" s="125">
        <v>3</v>
      </c>
      <c r="M9" s="125">
        <v>4</v>
      </c>
      <c r="N9" s="125">
        <v>5</v>
      </c>
      <c r="O9" s="125">
        <v>6</v>
      </c>
      <c r="P9" s="125">
        <v>7</v>
      </c>
      <c r="Q9" s="125">
        <v>8</v>
      </c>
      <c r="R9" s="125">
        <v>9</v>
      </c>
      <c r="S9" s="125">
        <v>10</v>
      </c>
      <c r="T9" s="125">
        <v>11</v>
      </c>
      <c r="U9" s="125">
        <v>12</v>
      </c>
      <c r="V9" s="125">
        <v>13</v>
      </c>
      <c r="W9" s="125">
        <v>14</v>
      </c>
      <c r="X9" s="125">
        <v>15</v>
      </c>
      <c r="Y9" s="125">
        <v>16</v>
      </c>
      <c r="Z9" s="125">
        <v>17</v>
      </c>
      <c r="AA9" s="125">
        <v>18</v>
      </c>
      <c r="AB9" s="125">
        <v>19</v>
      </c>
      <c r="AC9" s="125">
        <v>20</v>
      </c>
    </row>
    <row r="10" spans="1:29" x14ac:dyDescent="0.45">
      <c r="G10" s="124"/>
      <c r="H10" s="124"/>
      <c r="I10" s="124"/>
      <c r="J10" s="124"/>
      <c r="K10" s="124"/>
      <c r="L10" s="124"/>
      <c r="M10" s="124"/>
      <c r="N10" s="124"/>
      <c r="O10" s="124"/>
      <c r="P10" s="124"/>
      <c r="Q10" s="124"/>
      <c r="R10" s="124"/>
      <c r="S10" s="124"/>
      <c r="T10" s="124"/>
      <c r="U10" s="124"/>
      <c r="V10" s="124"/>
      <c r="W10" s="124"/>
      <c r="X10" s="124"/>
      <c r="Y10" s="125"/>
      <c r="Z10" s="125"/>
      <c r="AA10" s="124"/>
      <c r="AB10" s="124"/>
      <c r="AC10" s="124"/>
    </row>
    <row r="11" spans="1:29" x14ac:dyDescent="0.45">
      <c r="G11" s="124">
        <v>0</v>
      </c>
      <c r="H11" s="124"/>
      <c r="I11" s="126" t="s">
        <v>473</v>
      </c>
      <c r="J11" s="124"/>
      <c r="K11" s="124"/>
      <c r="L11" s="124"/>
      <c r="M11" s="124"/>
      <c r="N11" s="126" t="s">
        <v>473</v>
      </c>
      <c r="O11" s="124"/>
      <c r="P11" s="124"/>
      <c r="Q11" s="124"/>
      <c r="R11" s="124"/>
      <c r="S11" s="126" t="s">
        <v>473</v>
      </c>
      <c r="T11" s="124"/>
      <c r="U11" s="124"/>
      <c r="V11" s="124"/>
      <c r="W11" s="124"/>
      <c r="X11" s="126" t="s">
        <v>473</v>
      </c>
      <c r="Y11" s="124"/>
      <c r="Z11" s="124"/>
      <c r="AA11" s="124"/>
      <c r="AB11" s="124"/>
      <c r="AC11" s="126" t="s">
        <v>473</v>
      </c>
    </row>
    <row r="12" spans="1:29" x14ac:dyDescent="0.45">
      <c r="G12" s="124">
        <v>1</v>
      </c>
      <c r="H12" s="124"/>
      <c r="I12" s="124"/>
      <c r="J12" s="124"/>
      <c r="K12" s="124"/>
      <c r="L12" s="124"/>
      <c r="M12" s="124"/>
      <c r="N12" s="124"/>
      <c r="O12" s="124"/>
      <c r="P12" s="124"/>
      <c r="Q12" s="124"/>
      <c r="R12" s="124"/>
      <c r="S12" s="124"/>
      <c r="T12" s="124"/>
      <c r="U12" s="124"/>
      <c r="V12" s="124"/>
      <c r="W12" s="124"/>
      <c r="X12" s="124"/>
      <c r="Y12" s="124"/>
      <c r="Z12" s="124"/>
      <c r="AA12" s="124"/>
      <c r="AB12" s="124"/>
      <c r="AC12" s="124"/>
    </row>
    <row r="13" spans="1:29" x14ac:dyDescent="0.45">
      <c r="G13" s="124">
        <v>2</v>
      </c>
      <c r="H13" s="124"/>
      <c r="I13" s="124"/>
      <c r="J13" s="124"/>
      <c r="K13" s="124"/>
      <c r="L13" s="124"/>
      <c r="M13" s="124"/>
      <c r="N13" s="124"/>
      <c r="O13" s="124"/>
      <c r="P13" s="124"/>
      <c r="Q13" s="124"/>
      <c r="R13" s="124"/>
      <c r="S13" s="124"/>
      <c r="T13" s="124"/>
      <c r="U13" s="124"/>
      <c r="V13" s="124"/>
      <c r="W13" s="124"/>
      <c r="X13" s="124"/>
      <c r="Y13" s="124"/>
      <c r="Z13" s="124"/>
      <c r="AA13" s="124"/>
      <c r="AB13" s="124"/>
      <c r="AC13" s="124"/>
    </row>
    <row r="14" spans="1:29" x14ac:dyDescent="0.45">
      <c r="G14" s="124">
        <v>3</v>
      </c>
      <c r="H14" s="124"/>
      <c r="I14" s="124"/>
      <c r="J14" s="124"/>
      <c r="K14" s="124"/>
      <c r="L14" s="124"/>
      <c r="M14" s="124"/>
      <c r="N14" s="124"/>
      <c r="O14" s="124"/>
      <c r="P14" s="124"/>
      <c r="Q14" s="124"/>
      <c r="R14" s="124"/>
      <c r="S14" s="124"/>
      <c r="T14" s="124"/>
      <c r="U14" s="124"/>
      <c r="V14" s="124"/>
      <c r="W14" s="124"/>
      <c r="X14" s="124"/>
      <c r="Y14" s="124"/>
      <c r="Z14" s="124"/>
      <c r="AA14" s="124"/>
      <c r="AB14" s="124"/>
      <c r="AC14" s="124"/>
    </row>
    <row r="15" spans="1:29" x14ac:dyDescent="0.45">
      <c r="G15" s="124">
        <v>4</v>
      </c>
      <c r="H15" s="124"/>
      <c r="I15" s="124"/>
      <c r="J15" s="124"/>
      <c r="K15" s="124"/>
      <c r="L15" s="124"/>
      <c r="M15" s="124"/>
      <c r="N15" s="124"/>
      <c r="O15" s="124"/>
      <c r="P15" s="124"/>
      <c r="Q15" s="124"/>
      <c r="R15" s="124"/>
      <c r="S15" s="124"/>
      <c r="T15" s="124"/>
      <c r="U15" s="124"/>
      <c r="V15" s="124"/>
      <c r="W15" s="124"/>
      <c r="X15" s="124"/>
      <c r="Y15" s="124"/>
      <c r="Z15" s="124"/>
      <c r="AA15" s="124"/>
      <c r="AB15" s="124"/>
      <c r="AC15" s="124"/>
    </row>
    <row r="16" spans="1:29" x14ac:dyDescent="0.45">
      <c r="G16" s="124">
        <v>5</v>
      </c>
      <c r="H16" s="124"/>
      <c r="I16" s="124"/>
      <c r="J16" s="124"/>
      <c r="K16" s="126" t="s">
        <v>473</v>
      </c>
      <c r="L16" s="124"/>
      <c r="M16" s="124"/>
      <c r="N16" s="124"/>
      <c r="O16" s="124"/>
      <c r="P16" s="126" t="s">
        <v>473</v>
      </c>
      <c r="Q16" s="124"/>
      <c r="R16" s="124"/>
      <c r="S16" s="124"/>
      <c r="T16" s="124"/>
      <c r="U16" s="126" t="s">
        <v>473</v>
      </c>
      <c r="V16" s="124"/>
      <c r="W16" s="124"/>
      <c r="X16" s="124"/>
      <c r="Y16" s="124"/>
      <c r="Z16" s="126" t="s">
        <v>473</v>
      </c>
      <c r="AA16" s="124"/>
      <c r="AB16" s="124"/>
      <c r="AC16" s="124"/>
    </row>
    <row r="17" spans="7:29" x14ac:dyDescent="0.45">
      <c r="G17" s="124">
        <v>6</v>
      </c>
      <c r="H17" s="124"/>
      <c r="I17" s="124"/>
      <c r="J17" s="124"/>
      <c r="K17" s="124"/>
      <c r="L17" s="124"/>
      <c r="M17" s="124"/>
      <c r="N17" s="124"/>
      <c r="O17" s="124"/>
      <c r="P17" s="124"/>
      <c r="Q17" s="124"/>
      <c r="R17" s="124"/>
      <c r="S17" s="124"/>
      <c r="T17" s="124"/>
      <c r="U17" s="124"/>
      <c r="V17" s="124"/>
      <c r="W17" s="124"/>
      <c r="X17" s="124"/>
      <c r="Y17" s="124"/>
      <c r="Z17" s="124"/>
      <c r="AA17" s="124"/>
      <c r="AB17" s="124"/>
      <c r="AC17" s="124"/>
    </row>
    <row r="18" spans="7:29" x14ac:dyDescent="0.45">
      <c r="G18" s="124">
        <v>7</v>
      </c>
      <c r="H18" s="124"/>
      <c r="I18" s="124"/>
      <c r="J18" s="124"/>
      <c r="K18" s="124"/>
      <c r="L18" s="124"/>
      <c r="M18" s="124"/>
      <c r="N18" s="124"/>
      <c r="O18" s="124"/>
      <c r="P18" s="124"/>
      <c r="Q18" s="124"/>
      <c r="R18" s="124"/>
      <c r="S18" s="124"/>
      <c r="T18" s="124"/>
      <c r="U18" s="124"/>
      <c r="V18" s="124"/>
      <c r="W18" s="124"/>
      <c r="X18" s="124"/>
      <c r="Y18" s="124"/>
      <c r="Z18" s="124"/>
      <c r="AA18" s="124"/>
      <c r="AB18" s="124"/>
      <c r="AC18" s="124"/>
    </row>
    <row r="19" spans="7:29" x14ac:dyDescent="0.45">
      <c r="G19" s="124">
        <v>8</v>
      </c>
      <c r="H19" s="124"/>
      <c r="I19" s="124"/>
      <c r="J19" s="124"/>
      <c r="K19" s="124"/>
      <c r="L19" s="124"/>
      <c r="M19" s="124"/>
      <c r="N19" s="124"/>
      <c r="O19" s="124"/>
      <c r="P19" s="124"/>
      <c r="Q19" s="124"/>
      <c r="R19" s="124"/>
      <c r="S19" s="124"/>
      <c r="T19" s="124"/>
      <c r="U19" s="124"/>
      <c r="V19" s="124"/>
      <c r="W19" s="124"/>
      <c r="X19" s="124"/>
      <c r="Y19" s="124"/>
      <c r="Z19" s="124"/>
      <c r="AA19" s="124"/>
      <c r="AB19" s="124"/>
      <c r="AC19" s="124"/>
    </row>
    <row r="20" spans="7:29" x14ac:dyDescent="0.45">
      <c r="G20" s="124">
        <v>9</v>
      </c>
      <c r="H20" s="124"/>
      <c r="I20" s="124"/>
      <c r="J20" s="124"/>
      <c r="K20" s="124"/>
      <c r="L20" s="124"/>
      <c r="M20" s="124"/>
      <c r="N20" s="124"/>
      <c r="O20" s="124"/>
      <c r="P20" s="124"/>
      <c r="Q20" s="124"/>
      <c r="R20" s="124"/>
      <c r="S20" s="124"/>
      <c r="T20" s="124"/>
      <c r="U20" s="124"/>
      <c r="V20" s="124"/>
      <c r="W20" s="124"/>
      <c r="X20" s="124"/>
      <c r="Y20" s="124"/>
      <c r="Z20" s="124"/>
      <c r="AA20" s="124"/>
      <c r="AB20" s="124"/>
      <c r="AC20" s="124"/>
    </row>
    <row r="21" spans="7:29" x14ac:dyDescent="0.45">
      <c r="G21" s="124">
        <v>10</v>
      </c>
      <c r="H21" s="124"/>
      <c r="I21" s="126" t="s">
        <v>473</v>
      </c>
      <c r="J21" s="124"/>
      <c r="K21" s="124"/>
      <c r="L21" s="124"/>
      <c r="M21" s="124"/>
      <c r="N21" s="126" t="s">
        <v>473</v>
      </c>
      <c r="O21" s="124"/>
      <c r="P21" s="124"/>
      <c r="Q21" s="124"/>
      <c r="R21" s="124"/>
      <c r="S21" s="126" t="s">
        <v>473</v>
      </c>
      <c r="T21" s="124"/>
      <c r="U21" s="124"/>
      <c r="V21" s="124"/>
      <c r="W21" s="124"/>
      <c r="X21" s="126" t="s">
        <v>473</v>
      </c>
      <c r="Y21" s="124"/>
      <c r="Z21" s="124"/>
      <c r="AA21" s="124"/>
      <c r="AB21" s="124"/>
      <c r="AC21" s="126" t="s">
        <v>473</v>
      </c>
    </row>
    <row r="22" spans="7:29" x14ac:dyDescent="0.45">
      <c r="G22" s="124">
        <v>11</v>
      </c>
      <c r="H22" s="124"/>
      <c r="I22" s="124"/>
      <c r="J22" s="124"/>
      <c r="K22" s="124"/>
      <c r="L22" s="124"/>
      <c r="M22" s="124"/>
      <c r="N22" s="124"/>
      <c r="O22" s="124"/>
      <c r="P22" s="124"/>
      <c r="Q22" s="124"/>
      <c r="R22" s="124"/>
      <c r="S22" s="124"/>
      <c r="T22" s="124"/>
      <c r="U22" s="124"/>
      <c r="V22" s="124"/>
      <c r="W22" s="124"/>
      <c r="X22" s="124"/>
      <c r="Y22" s="124"/>
      <c r="Z22" s="124"/>
      <c r="AA22" s="124"/>
      <c r="AB22" s="124"/>
      <c r="AC22" s="124"/>
    </row>
    <row r="23" spans="7:29" x14ac:dyDescent="0.45">
      <c r="G23" s="124">
        <v>12</v>
      </c>
      <c r="H23" s="124"/>
      <c r="I23" s="124"/>
      <c r="J23" s="124"/>
      <c r="K23" s="124"/>
      <c r="L23" s="124"/>
      <c r="M23" s="124"/>
      <c r="N23" s="124"/>
      <c r="O23" s="124"/>
      <c r="P23" s="124"/>
      <c r="Q23" s="124"/>
      <c r="R23" s="124"/>
      <c r="S23" s="124"/>
      <c r="T23" s="124"/>
      <c r="U23" s="124"/>
      <c r="V23" s="124"/>
      <c r="W23" s="124"/>
      <c r="X23" s="124"/>
      <c r="Y23" s="124"/>
      <c r="Z23" s="124"/>
      <c r="AA23" s="124"/>
      <c r="AB23" s="124"/>
      <c r="AC23" s="124"/>
    </row>
    <row r="24" spans="7:29" x14ac:dyDescent="0.45">
      <c r="G24" s="124">
        <v>13</v>
      </c>
      <c r="H24" s="124"/>
      <c r="I24" s="124"/>
      <c r="J24" s="124"/>
      <c r="K24" s="124"/>
      <c r="L24" s="124"/>
      <c r="M24" s="124"/>
      <c r="N24" s="124"/>
      <c r="O24" s="124"/>
      <c r="P24" s="124"/>
      <c r="Q24" s="124"/>
      <c r="R24" s="124"/>
      <c r="S24" s="124"/>
      <c r="T24" s="124"/>
      <c r="U24" s="124"/>
      <c r="V24" s="124"/>
      <c r="W24" s="124"/>
      <c r="X24" s="124"/>
      <c r="Y24" s="124"/>
      <c r="Z24" s="124"/>
      <c r="AA24" s="124"/>
      <c r="AB24" s="124"/>
      <c r="AC24" s="124"/>
    </row>
    <row r="25" spans="7:29" x14ac:dyDescent="0.45">
      <c r="G25" s="124">
        <v>14</v>
      </c>
      <c r="H25" s="124"/>
      <c r="I25" s="124"/>
      <c r="J25" s="124"/>
      <c r="K25" s="124"/>
      <c r="L25" s="124"/>
      <c r="M25" s="124"/>
      <c r="N25" s="124"/>
      <c r="O25" s="124"/>
      <c r="P25" s="124"/>
      <c r="Q25" s="124"/>
      <c r="R25" s="124"/>
      <c r="S25" s="124"/>
      <c r="T25" s="124"/>
      <c r="U25" s="124"/>
      <c r="V25" s="124"/>
      <c r="W25" s="124"/>
      <c r="X25" s="124"/>
      <c r="Y25" s="124"/>
      <c r="Z25" s="124"/>
      <c r="AA25" s="124"/>
      <c r="AB25" s="124"/>
      <c r="AC25" s="124"/>
    </row>
    <row r="26" spans="7:29" x14ac:dyDescent="0.45">
      <c r="G26" s="124">
        <v>15</v>
      </c>
      <c r="H26" s="124"/>
      <c r="I26" s="124"/>
      <c r="J26" s="124"/>
      <c r="K26" s="126" t="s">
        <v>473</v>
      </c>
      <c r="L26" s="124"/>
      <c r="M26" s="124"/>
      <c r="N26" s="124"/>
      <c r="O26" s="124"/>
      <c r="P26" s="126" t="s">
        <v>473</v>
      </c>
      <c r="Q26" s="124"/>
      <c r="R26" s="124"/>
      <c r="S26" s="124"/>
      <c r="T26" s="124"/>
      <c r="U26" s="126" t="s">
        <v>473</v>
      </c>
      <c r="V26" s="124"/>
      <c r="W26" s="124"/>
      <c r="X26" s="124"/>
      <c r="Y26" s="124"/>
      <c r="Z26" s="126" t="s">
        <v>473</v>
      </c>
      <c r="AA26" s="124"/>
      <c r="AB26" s="124"/>
      <c r="AC26" s="124"/>
    </row>
    <row r="27" spans="7:29" x14ac:dyDescent="0.45">
      <c r="G27" s="124">
        <v>16</v>
      </c>
      <c r="H27" s="124"/>
      <c r="I27" s="124"/>
      <c r="J27" s="124"/>
      <c r="K27" s="124"/>
      <c r="L27" s="124"/>
      <c r="M27" s="124"/>
      <c r="N27" s="124"/>
      <c r="O27" s="124"/>
      <c r="P27" s="124"/>
      <c r="Q27" s="124"/>
      <c r="R27" s="124"/>
      <c r="S27" s="124"/>
      <c r="T27" s="124"/>
      <c r="U27" s="124"/>
      <c r="V27" s="124"/>
      <c r="W27" s="124"/>
      <c r="X27" s="124"/>
      <c r="Y27" s="124"/>
      <c r="Z27" s="124"/>
      <c r="AA27" s="124"/>
      <c r="AB27" s="124"/>
      <c r="AC27" s="124"/>
    </row>
    <row r="28" spans="7:29" x14ac:dyDescent="0.45">
      <c r="G28" s="124">
        <v>17</v>
      </c>
      <c r="H28" s="124"/>
      <c r="I28" s="124"/>
      <c r="J28" s="124"/>
      <c r="K28" s="124"/>
      <c r="L28" s="124"/>
      <c r="M28" s="124"/>
      <c r="N28" s="124"/>
      <c r="O28" s="124"/>
      <c r="P28" s="124"/>
      <c r="Q28" s="124"/>
      <c r="R28" s="124"/>
      <c r="S28" s="124"/>
      <c r="T28" s="124"/>
      <c r="U28" s="124"/>
      <c r="V28" s="124"/>
      <c r="W28" s="124"/>
      <c r="X28" s="124"/>
      <c r="Y28" s="124"/>
      <c r="Z28" s="124"/>
      <c r="AA28" s="124"/>
      <c r="AB28" s="124"/>
      <c r="AC28" s="124"/>
    </row>
    <row r="29" spans="7:29" x14ac:dyDescent="0.45">
      <c r="G29" s="124">
        <v>18</v>
      </c>
      <c r="H29" s="124"/>
      <c r="I29" s="124"/>
      <c r="J29" s="124"/>
      <c r="K29" s="124"/>
      <c r="L29" s="124"/>
      <c r="M29" s="124"/>
      <c r="N29" s="124"/>
      <c r="O29" s="124"/>
      <c r="P29" s="124"/>
      <c r="Q29" s="124"/>
      <c r="R29" s="124"/>
      <c r="S29" s="124"/>
      <c r="T29" s="124"/>
      <c r="U29" s="124"/>
      <c r="V29" s="124"/>
      <c r="W29" s="124"/>
      <c r="X29" s="124"/>
      <c r="Y29" s="124"/>
      <c r="Z29" s="124"/>
      <c r="AA29" s="124"/>
      <c r="AB29" s="124"/>
      <c r="AC29" s="124"/>
    </row>
    <row r="30" spans="7:29" x14ac:dyDescent="0.45">
      <c r="G30" s="124">
        <v>19</v>
      </c>
      <c r="H30" s="124"/>
      <c r="I30" s="124"/>
      <c r="J30" s="124"/>
      <c r="K30" s="124"/>
      <c r="L30" s="124"/>
      <c r="M30" s="124"/>
      <c r="N30" s="124"/>
      <c r="O30" s="124"/>
      <c r="P30" s="124"/>
      <c r="Q30" s="124"/>
      <c r="R30" s="124"/>
      <c r="S30" s="124"/>
      <c r="T30" s="124"/>
      <c r="U30" s="124"/>
      <c r="V30" s="124"/>
      <c r="W30" s="124"/>
      <c r="X30" s="124"/>
      <c r="Y30" s="124"/>
      <c r="Z30" s="124"/>
      <c r="AA30" s="124"/>
      <c r="AB30" s="124"/>
      <c r="AC30" s="124"/>
    </row>
    <row r="31" spans="7:29" x14ac:dyDescent="0.45">
      <c r="G31" s="124">
        <v>20</v>
      </c>
      <c r="H31" s="124"/>
      <c r="I31" s="126" t="s">
        <v>473</v>
      </c>
      <c r="J31" s="124"/>
      <c r="K31" s="124"/>
      <c r="L31" s="124"/>
      <c r="M31" s="124"/>
      <c r="N31" s="126" t="s">
        <v>473</v>
      </c>
      <c r="O31" s="124"/>
      <c r="P31" s="124"/>
      <c r="Q31" s="124"/>
      <c r="R31" s="124"/>
      <c r="S31" s="126" t="s">
        <v>473</v>
      </c>
      <c r="T31" s="124"/>
      <c r="U31" s="124"/>
      <c r="V31" s="124"/>
      <c r="W31" s="124"/>
      <c r="X31" s="126" t="s">
        <v>473</v>
      </c>
      <c r="Y31" s="124"/>
      <c r="Z31" s="124"/>
      <c r="AA31" s="124"/>
      <c r="AB31" s="124"/>
      <c r="AC31" s="126" t="s">
        <v>473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27</vt:i4>
      </vt:variant>
    </vt:vector>
  </HeadingPairs>
  <TitlesOfParts>
    <vt:vector size="27" baseType="lpstr">
      <vt:lpstr>Summary</vt:lpstr>
      <vt:lpstr>Total_Summary</vt:lpstr>
      <vt:lpstr>Assumptions</vt:lpstr>
      <vt:lpstr>Seedling Density</vt:lpstr>
      <vt:lpstr>Biomass</vt:lpstr>
      <vt:lpstr>CAPEX</vt:lpstr>
      <vt:lpstr>HR</vt:lpstr>
      <vt:lpstr>OPEX</vt:lpstr>
      <vt:lpstr>Carbon Costs</vt:lpstr>
      <vt:lpstr>Revenue</vt:lpstr>
      <vt:lpstr>Impact</vt:lpstr>
      <vt:lpstr>Eq4_CWP_woody</vt:lpstr>
      <vt:lpstr>Eq6_CWP_herb</vt:lpstr>
      <vt:lpstr>Eq8_CWP_DW</vt:lpstr>
      <vt:lpstr>Eq10_CWP_LI</vt:lpstr>
      <vt:lpstr>Eq11_Delta_SOC</vt:lpstr>
      <vt:lpstr>Eq3_Delta_woody</vt:lpstr>
      <vt:lpstr>Eq5_Delta_herb</vt:lpstr>
      <vt:lpstr>Eq7_Delta_DW</vt:lpstr>
      <vt:lpstr>Eq9_Delta_LI</vt:lpstr>
      <vt:lpstr>Eq2_Delta_biomass</vt:lpstr>
      <vt:lpstr>VMD0054 Leakage</vt:lpstr>
      <vt:lpstr>Eq1_Project_total</vt:lpstr>
      <vt:lpstr>Eq30_Carbon_removals</vt:lpstr>
      <vt:lpstr>Eq34_Annualized</vt:lpstr>
      <vt:lpstr>Eq_A6_PerfBench</vt: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Adriaan  Mol - SaniTap</cp:lastModifiedBy>
  <cp:revision/>
  <dcterms:created xsi:type="dcterms:W3CDTF">2025-09-22T06:40:50Z</dcterms:created>
  <dcterms:modified xsi:type="dcterms:W3CDTF">2026-03-30T12:49:26Z</dcterms:modified>
  <cp:category/>
  <cp:contentStatus/>
</cp:coreProperties>
</file>